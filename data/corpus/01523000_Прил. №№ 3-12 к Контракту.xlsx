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8680" yWindow="-120" windowWidth="29040" windowHeight="15840" activeTab="2"/>
  </bookViews>
  <sheets>
    <sheet name="ВОР № 1" sheetId="13" r:id="rId1"/>
    <sheet name="ВОР № 1.1" sheetId="8" r:id="rId2"/>
    <sheet name="ВОР № 2" sheetId="10" r:id="rId3"/>
    <sheet name="ВОР № 2.1" sheetId="12" r:id="rId4"/>
    <sheet name="ВОР № 4" sheetId="14" r:id="rId5"/>
    <sheet name="ВОР № 5" sheetId="5" r:id="rId6"/>
    <sheet name="ВОР № 6" sheetId="6" r:id="rId7"/>
    <sheet name="ВОР № 7" sheetId="7" r:id="rId8"/>
    <sheet name="ВОР № 7.1" sheetId="1" r:id="rId9"/>
    <sheet name="ВОР № 9" sheetId="11" r:id="rId10"/>
  </sheets>
  <definedNames>
    <definedName name="_xlnm.Print_Titles" localSheetId="1">'ВОР № 1.1'!$7:$7</definedName>
    <definedName name="_xlnm.Print_Titles" localSheetId="2">'ВОР № 2'!$7:$7</definedName>
    <definedName name="_xlnm.Print_Titles" localSheetId="3">'ВОР № 2.1'!$7:$7</definedName>
    <definedName name="_xlnm.Print_Titles" localSheetId="5">'ВОР № 5'!$7:$7</definedName>
    <definedName name="_xlnm.Print_Titles" localSheetId="6">'ВОР № 6'!$7:$7</definedName>
    <definedName name="_xlnm.Print_Titles" localSheetId="7">'ВОР № 7'!$7:$7</definedName>
    <definedName name="_xlnm.Print_Titles" localSheetId="8">'ВОР № 7.1'!$7:$7</definedName>
    <definedName name="_xlnm.Print_Titles" localSheetId="9">'ВОР № 9'!$7:$7</definedName>
    <definedName name="_xlnm.Print_Area" localSheetId="1">'ВОР № 1.1'!$A$1:$F$44</definedName>
    <definedName name="_xlnm.Print_Area" localSheetId="2">'ВОР № 2'!$A$1:$F$148</definedName>
    <definedName name="_xlnm.Print_Area" localSheetId="3">'ВОР № 2.1'!$A$1:$F$91</definedName>
    <definedName name="_xlnm.Print_Area" localSheetId="5">'ВОР № 5'!$A$1:$F$83</definedName>
    <definedName name="_xlnm.Print_Area" localSheetId="6">'ВОР № 6'!$A$1:$F$55</definedName>
    <definedName name="_xlnm.Print_Area" localSheetId="7">'ВОР № 7'!$A$1:$F$60</definedName>
    <definedName name="_xlnm.Print_Area" localSheetId="8">'ВОР № 7.1'!$A$1:$F$48</definedName>
    <definedName name="_xlnm.Print_Area" localSheetId="9">'ВОР № 9'!$A$1:$F$36</definedName>
  </definedNames>
  <calcPr calcId="144525"/>
</workbook>
</file>

<file path=xl/calcChain.xml><?xml version="1.0" encoding="utf-8"?>
<calcChain xmlns="http://schemas.openxmlformats.org/spreadsheetml/2006/main">
  <c r="A75" i="14" l="1"/>
  <c r="A74" i="14"/>
  <c r="A73" i="14"/>
  <c r="A71" i="14"/>
  <c r="A70" i="14"/>
  <c r="A69" i="14"/>
  <c r="A68" i="14"/>
  <c r="A67"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39" i="14"/>
  <c r="A38" i="14"/>
  <c r="A37" i="14"/>
  <c r="A36" i="14"/>
  <c r="A35" i="14"/>
  <c r="A34" i="14"/>
  <c r="A33" i="14"/>
  <c r="A32" i="14"/>
  <c r="A31" i="14"/>
  <c r="A29" i="14"/>
  <c r="A28" i="14"/>
  <c r="A27" i="14"/>
  <c r="A26" i="14"/>
  <c r="A24" i="14"/>
  <c r="A23" i="14"/>
  <c r="A22" i="14"/>
  <c r="A21" i="14"/>
  <c r="A20" i="14"/>
  <c r="A19" i="14"/>
  <c r="A18" i="14"/>
  <c r="A17" i="14"/>
  <c r="A16" i="14"/>
  <c r="A15" i="14"/>
  <c r="A14" i="14"/>
  <c r="A13" i="14"/>
  <c r="A12" i="14"/>
  <c r="A11" i="14"/>
  <c r="A66" i="13" l="1"/>
  <c r="A65" i="13"/>
  <c r="A64" i="13"/>
  <c r="A62" i="13"/>
  <c r="A61" i="13"/>
  <c r="A60" i="13"/>
  <c r="A59" i="13"/>
  <c r="A58" i="13"/>
  <c r="A57" i="13"/>
  <c r="A56" i="13"/>
  <c r="A55" i="13"/>
  <c r="A54" i="13"/>
  <c r="A53" i="13"/>
  <c r="A52" i="13"/>
  <c r="A51" i="13"/>
  <c r="A50" i="13"/>
  <c r="A49" i="13"/>
  <c r="A48" i="13"/>
  <c r="A47" i="13"/>
  <c r="A46" i="13"/>
  <c r="A45" i="13"/>
  <c r="A43" i="13"/>
  <c r="A42" i="13"/>
  <c r="A41" i="13"/>
  <c r="A40" i="13"/>
  <c r="A39" i="13"/>
  <c r="A38" i="13"/>
  <c r="A37" i="13"/>
  <c r="A36" i="13"/>
  <c r="A35" i="13"/>
  <c r="A33" i="13"/>
  <c r="A32" i="13"/>
  <c r="A31" i="13"/>
  <c r="A30" i="13"/>
  <c r="A29" i="13"/>
  <c r="A28" i="13"/>
  <c r="A27" i="13"/>
  <c r="A26" i="13"/>
  <c r="A25" i="13"/>
  <c r="A24" i="13"/>
  <c r="A23" i="13"/>
  <c r="A22" i="13"/>
  <c r="A21" i="13"/>
  <c r="A20" i="13"/>
  <c r="A19" i="13"/>
  <c r="A18" i="13"/>
  <c r="A17" i="13"/>
  <c r="A16" i="13"/>
  <c r="A15" i="13"/>
  <c r="A14" i="13"/>
  <c r="A13" i="13"/>
  <c r="A12" i="13"/>
  <c r="A11" i="13"/>
  <c r="A10" i="13"/>
  <c r="A73" i="12" l="1"/>
  <c r="A72" i="12"/>
  <c r="A71" i="12"/>
  <c r="A70" i="12"/>
  <c r="A69" i="12"/>
  <c r="A68" i="12"/>
  <c r="A67" i="12"/>
  <c r="A65" i="12"/>
  <c r="A64" i="12"/>
  <c r="A63" i="12"/>
  <c r="A62" i="12"/>
  <c r="A61" i="12"/>
  <c r="A59"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0" i="12"/>
  <c r="A29" i="12"/>
  <c r="A28" i="12"/>
  <c r="A26" i="12"/>
  <c r="A25" i="12"/>
  <c r="A23" i="12"/>
  <c r="A21" i="12"/>
  <c r="A19" i="12"/>
  <c r="A17" i="12"/>
  <c r="A15" i="12"/>
  <c r="A13" i="12"/>
  <c r="A12" i="12"/>
  <c r="A11" i="12"/>
  <c r="A10" i="12"/>
  <c r="A9" i="12"/>
  <c r="A9" i="11" l="1"/>
  <c r="A126" i="10"/>
  <c r="A125" i="10"/>
  <c r="A124" i="10"/>
  <c r="A123" i="10"/>
  <c r="A122" i="10"/>
  <c r="A121" i="10"/>
  <c r="A120" i="10"/>
  <c r="A118" i="10"/>
  <c r="A117" i="10"/>
  <c r="A115" i="10"/>
  <c r="A114" i="10"/>
  <c r="A113" i="10"/>
  <c r="A112" i="10"/>
  <c r="A111" i="10"/>
  <c r="A109" i="10"/>
  <c r="A108" i="10"/>
  <c r="A106" i="10"/>
  <c r="A105" i="10"/>
  <c r="A104" i="10"/>
  <c r="A103" i="10"/>
  <c r="A102" i="10"/>
  <c r="A101" i="10"/>
  <c r="A100" i="10"/>
  <c r="A98" i="10"/>
  <c r="A97" i="10"/>
  <c r="A96" i="10"/>
  <c r="A95" i="10"/>
  <c r="A94" i="10"/>
  <c r="A93" i="10"/>
  <c r="A92" i="10"/>
  <c r="A89" i="10"/>
  <c r="A88" i="10"/>
  <c r="A87" i="10"/>
  <c r="A86" i="10"/>
  <c r="A83" i="10"/>
  <c r="A81" i="10"/>
  <c r="A79" i="10"/>
  <c r="A77" i="10"/>
  <c r="A76" i="10"/>
  <c r="A74" i="10"/>
  <c r="A72" i="10"/>
  <c r="A69" i="10"/>
  <c r="A68" i="10"/>
  <c r="A67" i="10"/>
  <c r="A66" i="10"/>
  <c r="A65" i="10"/>
  <c r="A64" i="10"/>
  <c r="A63" i="10"/>
  <c r="A62" i="10"/>
  <c r="A61" i="10"/>
  <c r="A60" i="10"/>
  <c r="A59" i="10"/>
  <c r="A58" i="10"/>
  <c r="A56" i="10"/>
  <c r="A55" i="10"/>
  <c r="A54" i="10"/>
  <c r="A53" i="10"/>
  <c r="A52" i="10"/>
  <c r="A49" i="10"/>
  <c r="A48" i="10"/>
  <c r="A47" i="10"/>
  <c r="A46" i="10"/>
  <c r="A45" i="10"/>
  <c r="A43" i="10"/>
  <c r="A42" i="10"/>
  <c r="A41" i="10"/>
  <c r="A40" i="10"/>
  <c r="A37" i="10"/>
  <c r="A35" i="10"/>
  <c r="A34" i="10"/>
  <c r="A33" i="10"/>
  <c r="A32" i="10"/>
  <c r="A30" i="10"/>
  <c r="A29" i="10"/>
  <c r="A28" i="10"/>
  <c r="A27" i="10"/>
  <c r="A25" i="10"/>
  <c r="A23" i="10"/>
  <c r="A22" i="10"/>
  <c r="A21" i="10"/>
  <c r="A19" i="10"/>
  <c r="A17" i="10"/>
  <c r="A16" i="10"/>
  <c r="A15" i="10"/>
  <c r="A14" i="10"/>
  <c r="A12" i="10"/>
  <c r="A11" i="10"/>
  <c r="A10" i="10"/>
  <c r="A16" i="8"/>
  <c r="A15" i="8"/>
  <c r="A14" i="8"/>
  <c r="A13" i="8"/>
  <c r="A12" i="8"/>
  <c r="A11" i="8"/>
  <c r="A10" i="8"/>
  <c r="A9" i="8"/>
  <c r="A34" i="7" l="1"/>
  <c r="A33" i="7"/>
  <c r="A32" i="7"/>
  <c r="A31" i="7"/>
  <c r="A30" i="7"/>
  <c r="A29" i="7"/>
  <c r="A28" i="7"/>
  <c r="A27" i="7"/>
  <c r="A26" i="7"/>
  <c r="A25" i="7"/>
  <c r="A24" i="7"/>
  <c r="A23" i="7"/>
  <c r="A22" i="7"/>
  <c r="A21" i="7"/>
  <c r="A20" i="7"/>
  <c r="A19" i="7"/>
  <c r="A18" i="7"/>
  <c r="A17" i="7"/>
  <c r="A16" i="7"/>
  <c r="A15" i="7"/>
  <c r="A14" i="7"/>
  <c r="A13" i="7"/>
  <c r="A12" i="7"/>
  <c r="A11" i="7"/>
  <c r="A10" i="7"/>
  <c r="A9" i="7"/>
  <c r="A31" i="6" l="1"/>
  <c r="A30" i="6"/>
  <c r="A29" i="6"/>
  <c r="A28" i="6"/>
  <c r="A27" i="6"/>
  <c r="A26" i="6"/>
  <c r="A25" i="6"/>
  <c r="A23" i="6"/>
  <c r="A22" i="6"/>
  <c r="A21" i="6"/>
  <c r="A20" i="6"/>
  <c r="A19" i="6"/>
  <c r="A18" i="6"/>
  <c r="A17" i="6"/>
  <c r="A16" i="6"/>
  <c r="A15" i="6"/>
  <c r="A14" i="6"/>
  <c r="A13" i="6"/>
  <c r="A12" i="6"/>
  <c r="A11" i="6"/>
  <c r="A10" i="6"/>
  <c r="A9" i="6"/>
  <c r="A43" i="5" l="1"/>
  <c r="A55" i="5"/>
  <c r="A54" i="5"/>
  <c r="A53" i="5"/>
  <c r="A52" i="5"/>
  <c r="A51" i="5"/>
  <c r="A50" i="5"/>
  <c r="A49" i="5"/>
  <c r="A48" i="5"/>
  <c r="A47" i="5"/>
  <c r="A46" i="5"/>
  <c r="A45" i="5"/>
  <c r="A44" i="5"/>
  <c r="A41" i="5"/>
  <c r="A40" i="5"/>
  <c r="A39" i="5"/>
  <c r="A38" i="5"/>
  <c r="A37" i="5"/>
  <c r="A36" i="5"/>
  <c r="A35" i="5"/>
  <c r="A34" i="5"/>
  <c r="A33" i="5"/>
  <c r="A32" i="5"/>
  <c r="A30" i="5"/>
  <c r="A29" i="5"/>
  <c r="A28" i="5"/>
  <c r="A27" i="5"/>
  <c r="A26" i="5"/>
  <c r="A25" i="5"/>
  <c r="A24" i="5"/>
  <c r="A23" i="5"/>
  <c r="A22" i="5"/>
  <c r="A21" i="5"/>
  <c r="A19" i="5"/>
  <c r="A18" i="5"/>
  <c r="A17" i="5"/>
  <c r="A16" i="5"/>
  <c r="A15" i="5"/>
  <c r="A14" i="5"/>
  <c r="A13" i="5"/>
  <c r="A12" i="5"/>
  <c r="A11" i="5"/>
  <c r="A10" i="5"/>
  <c r="A9" i="5"/>
  <c r="A26" i="1" l="1"/>
  <c r="A25" i="1"/>
  <c r="A24" i="1"/>
  <c r="A23" i="1"/>
  <c r="A22" i="1"/>
  <c r="A21" i="1"/>
  <c r="A20" i="1"/>
  <c r="A19" i="1"/>
  <c r="A18" i="1"/>
  <c r="A17" i="1"/>
  <c r="A16" i="1"/>
  <c r="A15" i="1"/>
  <c r="A14" i="1"/>
  <c r="A13" i="1"/>
  <c r="A12" i="1"/>
  <c r="A11" i="1"/>
  <c r="A10" i="1"/>
  <c r="A9" i="1"/>
</calcChain>
</file>

<file path=xl/sharedStrings.xml><?xml version="1.0" encoding="utf-8"?>
<sst xmlns="http://schemas.openxmlformats.org/spreadsheetml/2006/main" count="1899" uniqueCount="827">
  <si>
    <t>№ п/п</t>
  </si>
  <si>
    <t>№ в ЛСР</t>
  </si>
  <si>
    <t>Наименование работ</t>
  </si>
  <si>
    <t>Ед.
изм.</t>
  </si>
  <si>
    <t>Кол-во</t>
  </si>
  <si>
    <t>Раздел 1. АПС и СОУЭ</t>
  </si>
  <si>
    <t>Приборы ПС приемно-контрольные, пусковые, концентратор: блок базовый на 20 лучей</t>
  </si>
  <si>
    <t>шт</t>
  </si>
  <si>
    <t xml:space="preserve">1 </t>
  </si>
  <si>
    <t>2</t>
  </si>
  <si>
    <t>3</t>
  </si>
  <si>
    <t>Устройства промежуточные на количество лучей: 1</t>
  </si>
  <si>
    <t>7</t>
  </si>
  <si>
    <t>8</t>
  </si>
  <si>
    <t>9</t>
  </si>
  <si>
    <t>10</t>
  </si>
  <si>
    <t>13</t>
  </si>
  <si>
    <t>14</t>
  </si>
  <si>
    <t>Извещатель ПС автоматический: тепловой электро-контактный, магнитоконтактный в нормальном исполнении</t>
  </si>
  <si>
    <t>Шкаф (пульт) управления навесной, высота, ширина и глубина: до 600х600х350 мм</t>
  </si>
  <si>
    <t>19</t>
  </si>
  <si>
    <t>Прибор или аппарат</t>
  </si>
  <si>
    <t>21</t>
  </si>
  <si>
    <t>25</t>
  </si>
  <si>
    <t>27</t>
  </si>
  <si>
    <t>Станция, пульт и установка оперативной телефонной связи с усилительным устройством, емкость 10 номеров</t>
  </si>
  <si>
    <t>номер</t>
  </si>
  <si>
    <t>29</t>
  </si>
  <si>
    <t>Устройство сигнально-блокировочное</t>
  </si>
  <si>
    <t>Примечание</t>
  </si>
  <si>
    <t>Прибор приемно-контрольный и
управления охранно-пожарный адреcный</t>
  </si>
  <si>
    <t>1 2</t>
  </si>
  <si>
    <t>Блок индикации и управления</t>
  </si>
  <si>
    <t>Изолятор шлейфа, питание и передача сигналов по АЛС, подключенной к прибору, допускает подключение к АЛС без учета полярности, ток потребления от АЛС: не более 0.82 мА при напряжении в линии 24-36В, не более 10 мА при срабатывании, время срабатывание не более 0.1 с</t>
  </si>
  <si>
    <t>4 5</t>
  </si>
  <si>
    <t>Извещатель пожарный дымовой оптико-электронный адресно-аналоговый, винтовые, без базового основания, количество контактов для подключения АЛС 2, степень защиты оболочки: IP40, чувствительность, дБ/м от 0.12 до 0.18, ток потребления извещателя из АЛС, мА, не более 0.32</t>
  </si>
  <si>
    <t>Извещатель пожарный дымовой оптико-электронный адресно-аналоговый, винтовые с базовым основанием для монтажа на несущие конструкции, количество контактов для подключения АЛС 2, степень защиты оболочки: IP40, чувствительность, дБ/м от 0.12 до 0.18, ток потребления извещателя из АЛС, мА, не более 0.32</t>
  </si>
  <si>
    <t>Извещатель пожарный дымовой линейный, питание: от АЛС, ток потребления извещателя из АЛС - 800 мкА, время выхода в дежурный режим после подачи напряжения питания - не более 20 с, дальность действия от 8 до 50 м, степень защиты оболочки IP41</t>
  </si>
  <si>
    <t>Извещатель пожарный дымовой оптико-электронный адресно-аналоговый</t>
  </si>
  <si>
    <t>Извещатель пожарный дымовой линейный</t>
  </si>
  <si>
    <t>Базовое основание база с площадкой под экран</t>
  </si>
  <si>
    <t xml:space="preserve"> Оповещатель охранно-пожарный световой адресный</t>
  </si>
  <si>
    <t>Оповещатель охранно-пожарный световой адресный</t>
  </si>
  <si>
    <t>"ВЫХОД" фон зеленый</t>
  </si>
  <si>
    <t xml:space="preserve">"СТРЕЛКА ВПРАВО" фон зеленый </t>
  </si>
  <si>
    <t>Извещатель пожарный тепловой максимально дифференциальный адресно-аналоговый винтовой, с базовым основанием для монтажа на несущие конструкции, количество контактов для подключения АЛС 2, степень защиты оболочки: IP40, ток потребления извещателя из АЛС, мА, не более 0.2</t>
  </si>
  <si>
    <t>15 16</t>
  </si>
  <si>
    <t>17 18</t>
  </si>
  <si>
    <t>Бокс резервного питания, исп.К5,Uвых.14В, Uвх.140…250В, под АКБ 2 х 26 А*ч или 2 х 40 А*ч, tраб.-10…+40°С, 346 х 210 х 255 мм, метал.корпус</t>
  </si>
  <si>
    <t>Модуль релейный адресный, ток потребления: от адресной линии связи  не более 180 мкА, от источника питания (без учета нагрузки, подключенной к выходам) не более 5 мА, ток контроля исправности цепи: в выключенном состоянии выхода не более 2 мА, во включенном состоянии выхода не менее 10 мА, до 210 мА, параметры релейных выходов: ток, коммутируемый каждым релейным выходом, не более 2 А, ток, коммутируемый всем модулем (суммарный ток по всем выходам одновременно), не более 5 А, степень защиты IP30</t>
  </si>
  <si>
    <t>Универсальный программатор адресных устройств протокола R3 для систем пожарной сигнализации. Тип питания: автономный (4 батарейки типа AAA). Включение: удержание любой клавиши на 2 секунды. Отключение: автоматическое: если устройство не подключено, питание отключается через 20 секунд. При подключенном адресном устройстве через 60 секунд бездействия.</t>
  </si>
  <si>
    <t>23 24</t>
  </si>
  <si>
    <t>Программатор адресных устройств</t>
  </si>
  <si>
    <t>28 29</t>
  </si>
  <si>
    <t>30 31</t>
  </si>
  <si>
    <t>Громкоговоритель трансляционный настенный</t>
  </si>
  <si>
    <t>Громкоговоритель трансляционный настенный, 100В, мощность 6/3/1.5 Вт, 150Hz-15kНz, звуковое давление 100 дБ, степень защиты IP30, чувствительность 92 дБ, ABS-пластик</t>
  </si>
  <si>
    <t>Пульт микрофонный: 20 зон, подключение к моноблокам SPM-B, SPM-С по интерфейсу DAP, максимальный потребляемый ток: в тревожном режиме не более 0,15 А, в дежурном режиме не более 0,08 А, в режиме «Тест» (тестирование элементов световой индикации, БЦД и звуковой сигнализации) не более 0,13 А, максимальная длина линии интерфейса DAP: не более 1000 м, степень защиты IP30</t>
  </si>
  <si>
    <t>Фильтр оконечный для трансляционной линии при контроле линии переменным током, в малогабаритном корпусе. Степень защиты, обеспечиваемая оболочкой фильтров, по ГОСТ 14254-2015: IP20</t>
  </si>
  <si>
    <t>м</t>
  </si>
  <si>
    <t>т</t>
  </si>
  <si>
    <t>Усиление конструктивных элементов: стен кирпичных стальными обоймами</t>
  </si>
  <si>
    <t>м2</t>
  </si>
  <si>
    <t>Огрунтовка металлических поверхностей за один раз: грунтовкой ГФ-021</t>
  </si>
  <si>
    <t>Окраска металлических огрунтованных поверхностей: эмалью ПФ-115</t>
  </si>
  <si>
    <t>м3</t>
  </si>
  <si>
    <t>Раздел 10. КРОВЛЯ</t>
  </si>
  <si>
    <t>41</t>
  </si>
  <si>
    <t>Установка стропил</t>
  </si>
  <si>
    <t>42</t>
  </si>
  <si>
    <t>Установка элементов каркаса: из брусьев</t>
  </si>
  <si>
    <t>Монтаж кровли из профилированного листа для объектов непроизводственного назначения: средней сложности</t>
  </si>
  <si>
    <t>Профнастил оцинкованный с покрытием: полиэстер НС35-1000-0,7</t>
  </si>
  <si>
    <t>45</t>
  </si>
  <si>
    <t>Устройство обрешетки сплошной из досок</t>
  </si>
  <si>
    <t>46</t>
  </si>
  <si>
    <t>Устройство обрешетки с прозорами из брусков</t>
  </si>
  <si>
    <t>47</t>
  </si>
  <si>
    <t>Устройство пароизоляции из пленки для кровли из цементно-песчаной черепицы</t>
  </si>
  <si>
    <t>Установка узлов прохода вытяжных вентиляционных шахт диаметром патрубка: до 250 мм</t>
  </si>
  <si>
    <t>Аэратор пластиковый для плоских кровель, диаметр 160 мм</t>
  </si>
  <si>
    <t>Огнебиозащитное покрытие деревянных поверхностей готовыми составами для обеспечения: показателей пожарной опасности древесины Г1, РП1, В1, Д2, Т2, по НПБ 244 и для получения трудногорючей и медленно распространяющей пламя древесины по ГОСТ 12.1.044</t>
  </si>
  <si>
    <t>Состав огнезащитный на неорганическом связующем для защиты дерева, фанеры, древесноволокнистых и древесностружечных плит, образующий при повышении температуры более 120 °С пористый теплоизолирующий слой, I группа огнезащитной эффективности, расход 1,5 кг/м2 при толщине слоя покрытия 1 мм</t>
  </si>
  <si>
    <t>Устройство слуховых окон</t>
  </si>
  <si>
    <t>Обивка стен кровельной сталью: оцинкованной по войлоку
применительно</t>
  </si>
  <si>
    <t>Утепление покрытий: керамзитом</t>
  </si>
  <si>
    <t>Гравий керамзитовый М 800, фракция 5-10 мм</t>
  </si>
  <si>
    <t>Раствор готовый кладочный, цементный, М200</t>
  </si>
  <si>
    <t>71</t>
  </si>
  <si>
    <t>Огрунтовка оснований из бетона или раствора под водоизоляционный кровельный ковер: готовой эмульсией битумной</t>
  </si>
  <si>
    <t>Устройство пароизоляции: оклеечной в один слой</t>
  </si>
  <si>
    <t>Плиты из минеральной ваты гидрофобизированные негорючие на основе каменных пород, плотность 150 кг/м3</t>
  </si>
  <si>
    <t>78</t>
  </si>
  <si>
    <t>Устройство выравнивающих стяжек: сборных из плоских хризотилцементных листов</t>
  </si>
  <si>
    <t>Устройство кровель плоских из наплавляемых материалов: в два слоя</t>
  </si>
  <si>
    <t>84</t>
  </si>
  <si>
    <t>Улучшенная штукатурка фасадов цементно-известковым раствором по камню: стен</t>
  </si>
  <si>
    <t>85</t>
  </si>
  <si>
    <t>88</t>
  </si>
  <si>
    <t>Устройство мелких покрытий (брандмауэры, парапеты, свесы и т.п.) из листовой оцинкованной стали</t>
  </si>
  <si>
    <t>89</t>
  </si>
  <si>
    <t>90</t>
  </si>
  <si>
    <t>Раздел 11. ОТЛИВЫ НА НАДОКОННЫХ КАРНИЗАХ</t>
  </si>
  <si>
    <t>93</t>
  </si>
  <si>
    <t>Раздел 12. ЭЛЕМЕНТЫ БЕЗОПАСНОСТИ</t>
  </si>
  <si>
    <t>Ограждение кровель перилами</t>
  </si>
  <si>
    <t>Конструкции стальные перил</t>
  </si>
  <si>
    <t>Площадки просадочные, мостики, кронштейны, маршевые лестницы, пожарные щиты переходных площадок, ограждений</t>
  </si>
  <si>
    <t>Монтаж лестниц прямолинейных и криволинейных, пожарных с ограждением</t>
  </si>
  <si>
    <t>Ограждения лестничных проемов, лестничные марши, пожарные лестницы</t>
  </si>
  <si>
    <t>100</t>
  </si>
  <si>
    <t>101</t>
  </si>
  <si>
    <t>Раздел 13. КОЗЫРЕК</t>
  </si>
  <si>
    <t>Монтаж связей и распорок из одиночных и парных уголков, гнутосварных профилей для пролетов: до 24 м при высоте здания до 25 м</t>
  </si>
  <si>
    <t>Элементы конструктивные зданий и сооружений с преобладанием гнутосварных профилей и круглых труб, средняя масса сборочной единицы до 0,1 т</t>
  </si>
  <si>
    <t>104</t>
  </si>
  <si>
    <t>105</t>
  </si>
  <si>
    <t>Устройство пароизоляции: прокладочной в один слой</t>
  </si>
  <si>
    <t>Мембрана кровельная армированная на основе ПВХ, толщина 1,2 мм</t>
  </si>
  <si>
    <t>Подшивка потолков: плитами древесноволокнистыми твердыми толщиной 5 мм</t>
  </si>
  <si>
    <t>Плиты ориентированно-стружечные типа OSB-3, длина 2500 мм, ширина 1250 мм, толщина 12 мм</t>
  </si>
  <si>
    <t>Монтаж кровельного покрытия: из профилированного листа при высоте здания до 25 м</t>
  </si>
  <si>
    <t>6 7</t>
  </si>
  <si>
    <t>43 44</t>
  </si>
  <si>
    <t>Двухслойный материал на основе высокопрочного полипропиленового тканого полотна. Сопротивление паропроницанию (при t = 20°С и относительной влажности 50%) 7 (м²·ч·Па)/мг. Водоупорность не менее 1200 мм вод. ст. Стойкость к старению под воздействием искусственных климатических факторов (после 404 ч искусственного старения) не менее 70%. Температурный диапазон применения  от −60 °С до +80 °С. Максимальная сила растяжения в продольном и поперечном направлении 660 (±60) / 510 (±80) Н/50 мм. Разрывная нагрузка в продольном и поперечном направлении не менее 1068/890 Н/50 мм. Дополнительные элементы металлочерепичной кровли коньковый элемент, разжелобки, профили с покрытием. Планка снегозадержателя металлическая для металлочерепичной кровли, окрашенная, размер 95х65 мм, длина 2000 мм. Прокладки уплотнительные пенополиуретановые открытопористые для металлочерепицы 1800х50х50 мм</t>
  </si>
  <si>
    <t>48-52</t>
  </si>
  <si>
    <t>53 54</t>
  </si>
  <si>
    <t>55 56</t>
  </si>
  <si>
    <t>Комплект скобяных изделий для оконных блоков общественных зданий при заполнении отдельными элементами одностворных, высота 1,2 м. Коробки оконные размер 94х70 мм. Полотна решетчатые ворот, высота до 1,2 м</t>
  </si>
  <si>
    <t>57-60</t>
  </si>
  <si>
    <t>61-64</t>
  </si>
  <si>
    <t>65 66</t>
  </si>
  <si>
    <t>Устройство выравнивающих стяжек: цементно-песчаных толщиной 50 мм</t>
  </si>
  <si>
    <t>67-70</t>
  </si>
  <si>
    <t>Наплавляемый рулонный битумно-полимерный кровельный материал, разрывная сила при растяжении (продольное направление) 550 Н; гибкость на брусе с R=25 мм при температуре не выше -15 °С; теплостойкость не ниже +85 °С; температура хрупкости по Фраасу не выше -25 °С; водонепроницаемость при давлении 10 кПа в течение 24 часов: выдерживает, при давлении не менее 0,2 МПа в течение 2 часов: выдерживает.</t>
  </si>
  <si>
    <t>72-74</t>
  </si>
  <si>
    <t>75-77</t>
  </si>
  <si>
    <t>Утепление покрытий плитами: из минеральной ваты или перлита на битумной мастике в 2 слоя</t>
  </si>
  <si>
    <t>Рулонный гидроизоляционный битумно-полимерный материал наплавляемого типа на основе стеклоткани, модифицированной СБС-полимером и минеральными наполнителями с крупнозернистой посыпкой, толщина 4 мм, температура гибкости на брусе R=25 мм  -25 °C; теплостойкость до 100 °C; водонепроницаемость абсолютная при давлении ≥ 0,001 МПа в течение 72 часов; максимальная сила растяжения вдоль не менее 800 Н; максимальная сила растяжения поперёк не менее 900 Н; тип защитного покрытия снизу: полимерная плёнка. Рулонный гидроизоляционный битумно-полимерный материал наплавляемого типа на основе стеклоткани, модифицированной СБС-полимером и минеральными наполнителями с полимерной пленкой, толщина 3 мм, температура гибкости на брусе R=25 мм -25 °C; теплостойкость до 100 °C; водонепроницаемость абсолютная при давлении ≥ 0,001 МПа в течение 72 часов; максимальная сила растяжения вдоль не менее 800 Н; максимальная сила растяжения поперёк не менее 900 Н; тип защитного покрытия снизу: полимерная плёнка.</t>
  </si>
  <si>
    <t>79-81</t>
  </si>
  <si>
    <t>82 83</t>
  </si>
  <si>
    <t>Рулонный гидроизоляционный битумно-полимерный материал наплавляемого типа на основе стеклоткани, модифицированной СБС-полимером и минеральными наполнителями с полимерной пленкой, толщина 3 мм, температура гибкости на брусе R=25 мм -25 °C; теплостойкость до 100 °C; водонепроницаемость абсолютная при давлении ≥ 0,001 МПа в течение 72 часов; максимальная сила растяжения вдоль не менее 800 Н; максимальная сила растяжения поперёк не менее 900 Н; тип защитного покрытия снизу: полимерная плёнка.</t>
  </si>
  <si>
    <t>86 87</t>
  </si>
  <si>
    <t>91 92</t>
  </si>
  <si>
    <t>94 95</t>
  </si>
  <si>
    <t>Монтаж площадок с настилом и ограждением из листовой, рифленой, просечной и круглой стали</t>
  </si>
  <si>
    <t>96 97</t>
  </si>
  <si>
    <t>98 99</t>
  </si>
  <si>
    <t>102 103</t>
  </si>
  <si>
    <t>106-108</t>
  </si>
  <si>
    <t>109-111</t>
  </si>
  <si>
    <t>112 113</t>
  </si>
  <si>
    <t>114-117</t>
  </si>
  <si>
    <t>Сталь листовая оцинкованная, с полимерным покрытием (металлопласт), толщина 0,55 мм, размер 1250х2000 мм. Анкер-болт, размер 10х100 мм</t>
  </si>
  <si>
    <t>Раздел 7. АПС и СОУЭ</t>
  </si>
  <si>
    <t>191</t>
  </si>
  <si>
    <t>195</t>
  </si>
  <si>
    <t>201</t>
  </si>
  <si>
    <t>Громкоговоритель или звуковая колонка: в помещении</t>
  </si>
  <si>
    <t>203</t>
  </si>
  <si>
    <t>Световые настенные указатели</t>
  </si>
  <si>
    <t>211</t>
  </si>
  <si>
    <t>Батарея аккумуляторная необслуживаемая, номинальным напряжением 12 В, емкость 26 А/ч</t>
  </si>
  <si>
    <t>212</t>
  </si>
  <si>
    <t>Батарея аккумуляторная необслуживаемая, номинальным напряжением 12 В, емкость 7 А/ч</t>
  </si>
  <si>
    <t>Шкаф или панель коммутации связи и сигнализации на стене или в нише, количество пар: до 20 ППУ 63А</t>
  </si>
  <si>
    <t>Щит ППУ 63А 2 ввода</t>
  </si>
  <si>
    <t>222</t>
  </si>
  <si>
    <t>Короба пластмассовые: шириной до 40 мм</t>
  </si>
  <si>
    <t>223</t>
  </si>
  <si>
    <t>Кабель-канал (короб) 40х25 мм</t>
  </si>
  <si>
    <t>224</t>
  </si>
  <si>
    <t>Кабель-канал (короб) 25х16 мм</t>
  </si>
  <si>
    <t>225</t>
  </si>
  <si>
    <t>Провод в коробах, сечением: до 6 мм2</t>
  </si>
  <si>
    <t>Труба гофрированная ПВХ для защиты проводов и кабелей по установленным конструкциям, по стенам, колоннам, потолкам, основанию пола</t>
  </si>
  <si>
    <t>228</t>
  </si>
  <si>
    <t>Рукав металлический наружным диаметром: до 48 мм</t>
  </si>
  <si>
    <t>229</t>
  </si>
  <si>
    <t>Затягивание провода в проложенные трубы и металлические рукава первого одножильного или многожильного в общей оплетке, суммарное сечение: до 6 мм2</t>
  </si>
  <si>
    <t>230</t>
  </si>
  <si>
    <t>Кабель для систем передачи данных пониженной пожароопасности c низким дымо- и газовыделением, с низкой токсичностью продуктов горения КСВВнг(А)-LSLTx 1х2х0,8</t>
  </si>
  <si>
    <t>231</t>
  </si>
  <si>
    <t>Кабель для систем передачи данных пониженной пожароопасности c низким дымо- и газовыделением, с низкой токсичностью продуктов горения КСВВнг(А)-LSLTx 1х2х1,5</t>
  </si>
  <si>
    <t>232</t>
  </si>
  <si>
    <t>Кабель для систем передачи данных пониженной пожароопасности c низким дымо- и газовыделением, с низкой токсичностью продуктов горения КСВВнг(А)-LSLTx 4х0,5</t>
  </si>
  <si>
    <t>233</t>
  </si>
  <si>
    <t>Кабель силовой огнестойкий, не распространяющий горение, с низким дымо- и газовыделением ВВГнг(А)-LSLTx 3х2.5 (N PE) 0.66кВ</t>
  </si>
  <si>
    <t>236</t>
  </si>
  <si>
    <t>Скобы металлические, монтажные, двухлапковые СД для крепления труб и кабелей, диаметр закрепляемого кабеля 22 мм, вид климатического исполнения У2, Т2, размер 52,0х9,0х20,0х74,0 мм</t>
  </si>
  <si>
    <t>237</t>
  </si>
  <si>
    <t>238</t>
  </si>
  <si>
    <t>Труба стальная по установленным конструкциям, по стенам с креплением скобами, диаметр: до 25 мм</t>
  </si>
  <si>
    <t>Трубы стальные сварные водогазопроводные с резьбой черные усиленные (неоцинкованные), диаметр условного прохода: 20 мм, толщина стенки 3,2 мм</t>
  </si>
  <si>
    <t>Герметизация проходов при вводе кабелей во взрывоопасные помещения уплотнительной массой</t>
  </si>
  <si>
    <t>Пена монтажная полиуретановая противопожарная однокомпонентная модифицированная для заполнения, уплотнения, утепления, изоляции и соединения швов и стыков в местах с повышенными требованиями пожарной безопасности (0,88 л)</t>
  </si>
  <si>
    <t>241-243</t>
  </si>
  <si>
    <t>239 240</t>
  </si>
  <si>
    <t>Хомут огнестойкий, винтовой 25 мм</t>
  </si>
  <si>
    <t>Хомут огнестойкий, винтовой 40 мм</t>
  </si>
  <si>
    <t>Устройства промежуточные на количество лучей: 10</t>
  </si>
  <si>
    <t>Извещатель ПС автоматический: дымовой, фотоэлектрический, радиоизотопный, световой в нормальном исполнении</t>
  </si>
  <si>
    <t>199 200</t>
  </si>
  <si>
    <t>Извещатель пожарный ручной адресный с встроенным изолятором короткого замыкания</t>
  </si>
  <si>
    <t>216 217</t>
  </si>
  <si>
    <t>218 219</t>
  </si>
  <si>
    <t>Радиосистема передачи извещений, частотные диапазоны работы: 146-174 МГц и 403-470 МГц, интерфейсы подключения: RS-232, USB, S2, Ethernet и канал сотовой связи по стандарту GSM 2G/4G (при помощи модуля), длина линии связи: по интерфейсу RS-232 до 15 м, по USB до 3 м, по S2 до 2 км, электропитание: от сети переменного тока (50 Гц, 220 В) и аккумуляторной батареи (13,6 В, 12 А/ч), потребляемая станцией мощность от сети: не более 30 Вт, максимальный ток потребления от аккумуляторной батареи: в режиме приема не более 130 мА, в режиме передачи не более 2 А</t>
  </si>
  <si>
    <t>Трубы гибкие гофрированные легкие из самозатухающего ПВХ (IP55), с зондом, диаметром: 20 мм</t>
  </si>
  <si>
    <t>226 227</t>
  </si>
  <si>
    <t>Коробка ответвительная на стене</t>
  </si>
  <si>
    <t>234 235</t>
  </si>
  <si>
    <t>Коробка огнестойкая 75х75х30 мм</t>
  </si>
  <si>
    <t>1</t>
  </si>
  <si>
    <t>22</t>
  </si>
  <si>
    <t>Раздел 1. Водомерный узел</t>
  </si>
  <si>
    <t>Прокладка трубопроводов водоснабжения из стальных водогазопроводных оцинкованных труб диаметром: 20 мм</t>
  </si>
  <si>
    <t>4</t>
  </si>
  <si>
    <t>Прокладка трубопроводов водоснабжения из стальных водогазопроводных оцинкованных труб диаметром: 25 мм</t>
  </si>
  <si>
    <t>5</t>
  </si>
  <si>
    <t>Узлы трубопроводов укрупненные монтажные из стальных водогазопроводных оцинкованных труб диаметром 25 мм</t>
  </si>
  <si>
    <t>6</t>
  </si>
  <si>
    <t>Прокладка трубопроводов водоснабжения из стальных водогазопроводных оцинкованных труб диаметром: 50 мм</t>
  </si>
  <si>
    <t>Узлы трубопроводов укрупненные монтажные из стальных водогазопроводных оцинкованных труб диаметром 50 мм</t>
  </si>
  <si>
    <t>Гидравлическое испытание трубопроводов систем отопления, водопровода и горячего водоснабжения диаметром: до 50 мм</t>
  </si>
  <si>
    <t>Установка счетчиков (водомеров) диаметром: до 40 мм</t>
  </si>
  <si>
    <t>11</t>
  </si>
  <si>
    <t>Счетчики холодной воды крыльчатые, с импульсным выходом, диаметр 20 мм</t>
  </si>
  <si>
    <t>Установка фильтров диаметром: 50 мм</t>
  </si>
  <si>
    <t>Фильтры сетчатые, с внутренней резьбой, латунные, диаметр 50 мм</t>
  </si>
  <si>
    <t>16</t>
  </si>
  <si>
    <t>Установка манометров: с трехходовым краном</t>
  </si>
  <si>
    <t>компл</t>
  </si>
  <si>
    <t>Хомут металлический с одним стопорным винтом и резиновым профилем для крепления трубопроводов диаметром: 39-46 мм</t>
  </si>
  <si>
    <t>20</t>
  </si>
  <si>
    <t>Анкер забивной М8</t>
  </si>
  <si>
    <t>Шпильки резьбовые М8-2000</t>
  </si>
  <si>
    <t>Изоляция изделиями из вспененного каучука, вспененного полиэтилена трубопроводов наружным диметром: до 160 мм трубками</t>
  </si>
  <si>
    <t>23</t>
  </si>
  <si>
    <t>Раздел 2. Холодное водоснабжение</t>
  </si>
  <si>
    <t>24</t>
  </si>
  <si>
    <t>26</t>
  </si>
  <si>
    <t>28</t>
  </si>
  <si>
    <t>Прокладка трубопроводов водоснабжения из стальных водогазопроводных оцинкованных труб диаметром: 32 мм</t>
  </si>
  <si>
    <t>31</t>
  </si>
  <si>
    <t>32</t>
  </si>
  <si>
    <t>35</t>
  </si>
  <si>
    <t>36</t>
  </si>
  <si>
    <t>Хомут металлический с шурупом для крепления трубопроводов диаметром: 31-38 мм</t>
  </si>
  <si>
    <t>37</t>
  </si>
  <si>
    <t>Хомут металлический с шурупом для крепления трубопроводов диаметром: 60-64 мм</t>
  </si>
  <si>
    <t>38</t>
  </si>
  <si>
    <t>39</t>
  </si>
  <si>
    <t>40</t>
  </si>
  <si>
    <t>43</t>
  </si>
  <si>
    <t>Раздел 3. Горячее водоснабжение</t>
  </si>
  <si>
    <t>44</t>
  </si>
  <si>
    <t>48</t>
  </si>
  <si>
    <t>49</t>
  </si>
  <si>
    <t>50</t>
  </si>
  <si>
    <t>51</t>
  </si>
  <si>
    <t>52</t>
  </si>
  <si>
    <t>54</t>
  </si>
  <si>
    <t>55</t>
  </si>
  <si>
    <t>56</t>
  </si>
  <si>
    <t>57</t>
  </si>
  <si>
    <t>58</t>
  </si>
  <si>
    <t>59</t>
  </si>
  <si>
    <t>60</t>
  </si>
  <si>
    <t>62</t>
  </si>
  <si>
    <t>Раздел 4. Система водоотведения</t>
  </si>
  <si>
    <t>63</t>
  </si>
  <si>
    <t>Прокладка внутренних трубопроводов канализации из полипропиленовых труб диаметром: 50 мм</t>
  </si>
  <si>
    <t>68</t>
  </si>
  <si>
    <t>Прокладка внутренних трубопроводов канализации из полипропиленовых труб диаметром: 110 мм</t>
  </si>
  <si>
    <t>Установка муфт противопожарных на трубопроводы пластиковые в междуэтажных перекрытиях с креплением дюбель-гвоздями к перекрытиям, диаметром: до 160 мм</t>
  </si>
  <si>
    <t>Муфта противопожарная из нержавеющей стали, предел огнестойкости EI 180, с вкладышем из терморасширяющейся резины, для трубы диаметром 110 мм</t>
  </si>
  <si>
    <t>Грибок канализационный ø110 мм</t>
  </si>
  <si>
    <t>83</t>
  </si>
  <si>
    <t>Анкер забивной М10</t>
  </si>
  <si>
    <t>86</t>
  </si>
  <si>
    <t>Шпильки резьбовая М10-2000</t>
  </si>
  <si>
    <t>Установка умывальников одиночных: с подводкой холодной и горячей воды</t>
  </si>
  <si>
    <t>Установка унитазов: с бачком непосредственно присоединенным</t>
  </si>
  <si>
    <t>92</t>
  </si>
  <si>
    <t>94</t>
  </si>
  <si>
    <t>Установка моек: на одно отделение</t>
  </si>
  <si>
    <t>95</t>
  </si>
  <si>
    <t>96</t>
  </si>
  <si>
    <t>Установка ванн купальных: прямых стальных</t>
  </si>
  <si>
    <t>97</t>
  </si>
  <si>
    <t>98</t>
  </si>
  <si>
    <t>99</t>
  </si>
  <si>
    <t>Подводка гибкая армированная резиновая, диаметр 15 мм, длина 1000 мм</t>
  </si>
  <si>
    <t>Узлы трубопроводов укрупненные монтажные из стальных водогазопроводных оцинкованных труб диаметром 20 мм. Кран шаровой, номинальное давление 1,0 МПа (10 кгс/см2), номинальный диаметр 20 мм, присоединение к трубопроводу муфтовое</t>
  </si>
  <si>
    <t>1-3</t>
  </si>
  <si>
    <t>Узлы трубопроводов укрупненные монтажные из стальных водогазопроводных оцинкованных труб диаметром 50 мм. Кран шаровой, номинальное давление 1,0 МПа (10 кгс/см2), номинальный диаметр 50 мм, присоединение к трубопроводу муфтовое</t>
  </si>
  <si>
    <t>6-8</t>
  </si>
  <si>
    <t>10 11</t>
  </si>
  <si>
    <t>13 14</t>
  </si>
  <si>
    <t>Манометр для неагрессивных сред (класс точности 1.5) с резьбовым присоединением с трехходовым краном с трубкой сифоном</t>
  </si>
  <si>
    <t>16 17</t>
  </si>
  <si>
    <t>Трубки теплоизоляционные из вспененного полиэтилена толщиной: 20 мм, диаметром 54 мм</t>
  </si>
  <si>
    <t>22 23</t>
  </si>
  <si>
    <t>Узлы трубопроводов укрупненные монтажные из стальных водогазопроводных оцинкованных труб диаметром 20 мм. Кран шаровый муфтовый для воды, номинальный диаметр 15 мм, тип в/н</t>
  </si>
  <si>
    <t>24-26</t>
  </si>
  <si>
    <t>Узлы трубопроводов укрупненные монтажные из стальных водогазопроводных оцинкованных труб диаметром 25 мм. Кран шаровой, номинальное давление 1,0 МПа (10 кгс/см2), номинальный диаметр 25 мм, присоединение к трубопроводу муфтовое</t>
  </si>
  <si>
    <t>27-29</t>
  </si>
  <si>
    <t>Узлы трубопроводов укрупненные монтажные из стальных водогазопроводных оцинкованных труб диаметром 32 мм. Кран шаровой, номинальное давление 1,0 МПа (10 кгс/см2), номинальный диаметр 32 мм, присоединение к трубопроводу муфтовое</t>
  </si>
  <si>
    <t>30-32</t>
  </si>
  <si>
    <t>33-35</t>
  </si>
  <si>
    <t>Трубки теплоизоляционные из вспененного полиэтилена толщиной: 20 мм, диаметром 35 мм. Трубки теплоизоляционные из вспененного полиэтилена толщиной: 20 мм, диаметром 65 мм</t>
  </si>
  <si>
    <t>40-42</t>
  </si>
  <si>
    <t>44-46</t>
  </si>
  <si>
    <t>47-49</t>
  </si>
  <si>
    <t>50-52</t>
  </si>
  <si>
    <t>59-61</t>
  </si>
  <si>
    <t>Трубы полипропиленовые для систем водоотведения, диаметр 110 мм. Тройник полипропиленовый для систем водоотведения, диаметр 110 мм. Отвод полипропиленовый 45°, для систем водоотведения, диаметр 110 мм. Крестовина полиэтиленовая для систем водоотведения, номинальный внутренний диаметр 110х110х50 мм. Крестовина одноплоскостная Ø 110х110х110 мм 45° полипропилен. Заглушка полипропиленовая для систем водоотведения, диаметр 110 мм. Ревизия полипропиленовая с крышкой, номинальный внутренний диаметр 100 мм. Отвод полипропиленовый 87,5°, для систем водоотведения, диаметр 50 мм. Хомут металлический с шурупом для крепления трубопроводов диаметром: 108-116 мм</t>
  </si>
  <si>
    <t>69-78</t>
  </si>
  <si>
    <t>79 80</t>
  </si>
  <si>
    <t>81 82</t>
  </si>
  <si>
    <t>Умывальники полуфарфоровые и фарфоровые с смесителем с верхней камерой смешивания, кронштейнами, сифоном бутылочным латунным и выпуском, полукруглые со скрытыми установочными поверхностями без спинки, размер 700х600х150 мм. Пьедесталы под умывальники прямоугольные</t>
  </si>
  <si>
    <t>87-89</t>
  </si>
  <si>
    <t>Унитазы полуфарфоровые и фарфоровые тарельчатые с сиденьем и креплением, с прямым или косым выпуском, с цельноотлитой полочкой. Бачки смывные полуфарфоровые и фарфоровые с арматурой непосредственно устанавливаемые на унитазы. Манжета резиновая канализационная для унитаза, диаметр 110 мм</t>
  </si>
  <si>
    <t>90-93</t>
  </si>
  <si>
    <t>Мойки стальные эмалированные на одно отделение с одной чашей, встраиваемые с креплениями со смесителем (с кнопочным переключателем), латунным выпуском пластмассовым бутылочным сифоном</t>
  </si>
  <si>
    <t>Ванны купальные прямобортные стальные эмалированные с 2-мя стальными подставками, с прокладками, уравнителем электрических потенциалов, с пластмассовыми выпуском, сифоном, переливной трубой и переливом, размер 1500х700х535 мм. Смесители общие для ванн и умывальников, с душевой сеткой на гибком шланге (ПВХ), с металлическим переключателем, маховики</t>
  </si>
  <si>
    <t>96-98</t>
  </si>
  <si>
    <t>Смена колпаков на дымовых и вентиляционных трубах в один канал</t>
  </si>
  <si>
    <t>63-68</t>
  </si>
  <si>
    <t>Трубы полипропиленовые для систем водоотведения, диаметр 50 мм. Тройник полипропиленовый для систем водоотведения, диаметр 50 мм. Клапаны воздушные полипропиленовые для невентилируемых канализационных стояков с резиновой мембраной, двойной изолированной стенкой, уменьшителем, защитной сеткой, диаметр 50, 75, 110 мм. Хомут металлический с шурупом для крепления трубопроводов диаметром: 60-64 мм. Хомут металлический с шурупом для крепления трубопроводов диаметром: 31-38 мм</t>
  </si>
  <si>
    <t>Раздел 2. Отопление</t>
  </si>
  <si>
    <t>Прокладка трубопроводов отопления из стальных водогазопроводных неоцинкованных труб диаметром: 15 мм</t>
  </si>
  <si>
    <t>Узлы укрупненные монтажные (трубопроводы) из стальных водогазопроводных неоцинкованных труб с гильзами для систем отопления диаметром 15 мм</t>
  </si>
  <si>
    <t>Кран шаровой латунный полнопроходной, номинальное давление 1,6 МПа (16 кгс/см2) и 2,5 МПа (25 кгс/см2), номинальный диаметр 15 мм, с обычной рукояткой, присоединение 1/2"х1/2", с внутренним резьбовым присоединением</t>
  </si>
  <si>
    <t>Прокладка трубопроводов отопления из стальных водогазопроводных неоцинкованных труб диаметром: 20 мм</t>
  </si>
  <si>
    <t>Узлы укрупненные монтажные (трубопроводы) из стальных водогазопроводных неоцинкованных труб с гильзами для систем отопления диаметром 20 мм</t>
  </si>
  <si>
    <t>Прокладка трубопроводов отопления из стальных водогазопроводных неоцинкованных труб диаметром: 25 мм</t>
  </si>
  <si>
    <t>Узлы укрупненные монтажные (трубопроводы) из стальных водогазопроводных неоцинкованных труб с гильзами для систем отопления диаметром 25 мм</t>
  </si>
  <si>
    <t>Прокладка трубопроводов отопления из стальных водогазопроводных неоцинкованных труб диаметром: 32 мм</t>
  </si>
  <si>
    <t>Узлы укрупненные монтажные (трубопроводы) из стальных водогазопроводных неоцинкованных труб с гильзами для систем отопления диаметром 32 мм</t>
  </si>
  <si>
    <t>Прокладка трубопроводов отопления из стальных водогазопроводных неоцинкованных труб диаметром: 40 мм</t>
  </si>
  <si>
    <t>Узлы трубопроводов укрупненные монтажные из стальных водогазопроводных неоцинкованных труб с гильзами для систем отопления, диаметр условного прохода 40 мм</t>
  </si>
  <si>
    <t>12</t>
  </si>
  <si>
    <t>Прокладка трубопроводов отопления из стальных водогазопроводных неоцинкованных труб диаметром: 50 мм</t>
  </si>
  <si>
    <t>Узлы укрупненные монтажные (трубопроводы) из стальных водогазопроводных неоцинкованных труб с гильзами для систем отопления диаметром 50 мм</t>
  </si>
  <si>
    <t>Прокладка трубопроводов отопления и водоснабжения из стальных электросварных труб диаметром: 65 мм</t>
  </si>
  <si>
    <t>Прокладка трубопроводов отопления и водоснабжения из стальных электросварных труб диаметром: 80 мм</t>
  </si>
  <si>
    <t>Гидравлическое испытание трубопроводов систем отопления, водопровода и горячего водоснабжения диаметром: до 100 мм</t>
  </si>
  <si>
    <t>Установка радиаторов: стальных</t>
  </si>
  <si>
    <t>кВт</t>
  </si>
  <si>
    <t>Установка кранов воздушных</t>
  </si>
  <si>
    <t>Кран Маевского для чугунных радиаторов 15 мм</t>
  </si>
  <si>
    <t>Раздел 3. Вентиляция</t>
  </si>
  <si>
    <t>Установка вентиляторов крышных массой: до 0,1 т</t>
  </si>
  <si>
    <t>Установка воздухораспределителей, предназначенных для подачи воздуха: в рабочую зону, массой до 20 кг</t>
  </si>
  <si>
    <t>Диффузоры вентиляционные приточные/вытяжные круглые стальные, диаметр воздуховода 200 мм</t>
  </si>
  <si>
    <t>Установка решеток жалюзийных площадью в свету: до 0,5 м2</t>
  </si>
  <si>
    <t>Прокладка воздуховодов из листовой, оцинкованной стали и алюминия класса Н (нормальные) толщиной: 0,7 мм, диаметром до 800 мм</t>
  </si>
  <si>
    <t>Воздуховоды из оцинкованной стали, толщина 0,7 мм, диаметр до 800 мм</t>
  </si>
  <si>
    <t>Прокладка воздуховодов из листовой, оцинкованной стали и алюминия класса Н (нормальные) толщиной: 0,6 мм, диаметром до 355 мм</t>
  </si>
  <si>
    <t>Прокладка воздуховодов из листовой, оцинкованной стали и алюминия класса Н (нормальные) толщиной: 0,6 мм, диаметром до 450 мм</t>
  </si>
  <si>
    <t>Воздуховоды из оцинкованной стали, толщина 0,6 мм, диаметр до 450 мм</t>
  </si>
  <si>
    <t>8 9</t>
  </si>
  <si>
    <t>12 13</t>
  </si>
  <si>
    <t>Трубы стальные электросварные прямошовные со снятой фаской из стали марок БСт2кп-БСт4кп и БСт2пс-БСт4пс, наружный диаметр 76 мм, толщина стенки 3,5 мм. Отвод крутоизогнутый, радиус кривизны 1,5 мм, номинальное давление до 16 МПа, номинальный диаметр 65 мм, наружный диаметр 76 мм, толщина стенки 4 мм</t>
  </si>
  <si>
    <t>14-16</t>
  </si>
  <si>
    <t>Трубы стальные электросварные прямошовные со снятой фаской из стали марок Ст2кп-Ст4кп и Ст2пс-Ст4пс, наружный диаметр 83 мм, толщина стенки 4 мм. Отвод крутоизогнутый, радиус кривизны 1,5 мм, номинальное давление до 16 МПа, номинальный диаметр 80 мм, наружный диаметр 89 мм, толщина стенки 4 мм</t>
  </si>
  <si>
    <t>17-19</t>
  </si>
  <si>
    <t>Радиаторы биметаллические, высота секции 500 мм, количество секций 1, мощность 204 Вт</t>
  </si>
  <si>
    <t>24 25</t>
  </si>
  <si>
    <t>26-28</t>
  </si>
  <si>
    <t>29 30</t>
  </si>
  <si>
    <t>31 32</t>
  </si>
  <si>
    <t>Решетки жалюзийные регулируемые из алюминиевого профиля с порошковым покрытием, размер 500х200 мм</t>
  </si>
  <si>
    <t>33 34</t>
  </si>
  <si>
    <t>Вентиляторы крышные: взрывозащищенные, электродвигатель мощностью 0,25 кВт, частота вращения: 1500 об/мин, номинальное напряжение тока: 380 В, потребляемый ток: 0,7 А, расход воздуха: 300-2350 м3/ч, давление на выходе: 20-110 Па, уровень шума: 84 дБ.</t>
  </si>
  <si>
    <t>35 36</t>
  </si>
  <si>
    <t>Раздел 1. Демонтажные работы</t>
  </si>
  <si>
    <t>Разборка засыпной изоляции перекрытий: чердачных, толщина засыпки 20 см</t>
  </si>
  <si>
    <t>Разборка покрытий кровель: из волнистых и полуволнистых хризотилцементных листов</t>
  </si>
  <si>
    <t>Разборка слуховых окон: прямоугольных односкатных</t>
  </si>
  <si>
    <t>Разборка деревянных элементов конструкций крыш: обрешетки из брусков с прозорами</t>
  </si>
  <si>
    <t>Разборка деревянных элементов конструкций крыш: стропил со стойками и подкосами из досок</t>
  </si>
  <si>
    <t>Разборка деревянных элементов конструкций крыш: мауэрлатов</t>
  </si>
  <si>
    <t>Разборка покрытий кровель: из рулонных материалов</t>
  </si>
  <si>
    <t>Раздел 2. Строительный мусор</t>
  </si>
  <si>
    <t>Разборка выравнивающих стяжек: цементно-песчаных толщиной 80 мм</t>
  </si>
  <si>
    <t>2 3</t>
  </si>
  <si>
    <t>Разборка деревянных заполнений проемов: дверных и воротных</t>
  </si>
  <si>
    <t>Разборка деревянных заполнений проемов: оконных с подоконными досками</t>
  </si>
  <si>
    <t>Разборка деревянных заполнений проемов: оконных без подоконных досок</t>
  </si>
  <si>
    <t>Снятие подоконных досок: бетонных и мозаичных</t>
  </si>
  <si>
    <t>Отбивка штукатурки с поверхностей: стен и потолков кирпичных</t>
  </si>
  <si>
    <t>Разборка покрытий полов: из древесностружечных плит в один слой - Разборка подиума</t>
  </si>
  <si>
    <t>Разборка оснований покрытия полов: лаг из досок и брусков</t>
  </si>
  <si>
    <t>Разборка покрытий полов: дощатых</t>
  </si>
  <si>
    <t>Разборка покрытий полов: из линолеума и релина</t>
  </si>
  <si>
    <t>Разборка покрытий полов: из керамических плиток</t>
  </si>
  <si>
    <t>Разборка покрытий полов: из древесноволокнистых плит</t>
  </si>
  <si>
    <t>Разборка плинтусов: деревянных и из пластмассовых материалов</t>
  </si>
  <si>
    <t>Разборка плинтусов: цементных и из керамической плитки</t>
  </si>
  <si>
    <t>Разборка облицовки стен: из керамических глазурованных плиток</t>
  </si>
  <si>
    <t>Пробивка проемов в конструкциях: из кирпича</t>
  </si>
  <si>
    <t>Разборка горизонтальных поверхностей бетонных конструкций при помощи отбойных молотков, бетон марки: 150</t>
  </si>
  <si>
    <t>Разборка деревянных перегородок: чистых щитовых дощатых</t>
  </si>
  <si>
    <t>Разборка металлических лестничных решеток при весе одного метра решетки: до 60 кг</t>
  </si>
  <si>
    <t>Демонтаж противопожарных дверей: двупольных глухих</t>
  </si>
  <si>
    <t>Демонтаж: лестниц, площадок, ограждений, панелей</t>
  </si>
  <si>
    <t>Демонтаж декоративного деревянного экрана на регистры отопления</t>
  </si>
  <si>
    <t>Электромонтажные работы</t>
  </si>
  <si>
    <t>Демонтаж. Короба пластмассовые: шириной до 40 мм</t>
  </si>
  <si>
    <t>Демонтаж. Извещатель ПС автоматический: дымовой, фотоэлектрический, радиоизотопный, световой в нормальном исполнении</t>
  </si>
  <si>
    <t>Демонтаж. Громкоговоритель или звуковая колонка: в помещении</t>
  </si>
  <si>
    <t>Демонтаж. Шкаф (пульт) управления навесной, высота, ширина и глубина: до 600х600х350 мм</t>
  </si>
  <si>
    <t>Сантехнические</t>
  </si>
  <si>
    <t>Разборка трубопроводов из водогазопроводных труб диаметром: свыше 25 до 32 мм</t>
  </si>
  <si>
    <t>Разборка трубопроводов из водогазопроводных труб диаметром: свыше 32 до 40 мм</t>
  </si>
  <si>
    <t>Разборка трубопроводов из водогазопроводных труб диаметром: свыше 40 до 50 мм</t>
  </si>
  <si>
    <t>Разборка трубопроводов из водогазопроводных труб диаметром: свыше 50 до 63 мм</t>
  </si>
  <si>
    <t>Разборка трубопроводов из водогазопроводных труб диаметром: свыше 63 до 100 мм</t>
  </si>
  <si>
    <t>Разборка внутренних трубопроводов канализации из полипропиленовых труб диаметром: 50 мм</t>
  </si>
  <si>
    <t>Разборка трубопроводов из чугунных канализационных труб диаметром: 100 мм</t>
  </si>
  <si>
    <t>Разборка трубопроводов водоснабжения из многослойных металлополимерных труб диаметром: 20 мм</t>
  </si>
  <si>
    <t>Разборка трубопроводов водоснабжения из напорных полиэтиленовых труб наружным диаметром: 25 мм</t>
  </si>
  <si>
    <t>Демонтаж: радиаторов весом до 80 кг</t>
  </si>
  <si>
    <t>Демонтаж: умывальников и раковин</t>
  </si>
  <si>
    <t>Демонтаж: унитазов и писсуаров</t>
  </si>
  <si>
    <t>Демонтаж: ванн</t>
  </si>
  <si>
    <t>Демонтаж баков расширительных круглых и прямоугольных вместимостью: 0,1 м3</t>
  </si>
  <si>
    <t>Разборка покрытий и оснований: асфальтобетонных с помощью молотков отбойных</t>
  </si>
  <si>
    <t>Погрузо-разгрузочные работы при автомобильных перевозках: Погрузка мусора строительного с погрузкой экскаваторами емкостью ковша до 0,5 м3</t>
  </si>
  <si>
    <t>1 т груза</t>
  </si>
  <si>
    <t>Погрузо-разгрузочные работы при автомобильных перевозках: Разгрузка мусора строительного с погрузкой экскаваторами емкостью ковша до 0,5 м3</t>
  </si>
  <si>
    <t>Перевозка грузов автомобилями-самосвалами грузоподъемностью 10 т работающих вне карьера на расстояние: I класс груза до 19 км</t>
  </si>
  <si>
    <t>14 15</t>
  </si>
  <si>
    <t>Раздел 1. Полы</t>
  </si>
  <si>
    <t>Тип 1.1</t>
  </si>
  <si>
    <t>Устройство подстилающих слоев: бетонных</t>
  </si>
  <si>
    <t>Смеси бетонные тяжелого бетона (БСТ), класс В20 (М250)</t>
  </si>
  <si>
    <t>Армирование подстилающих слоев и набетонок</t>
  </si>
  <si>
    <t>Проволока арматурная из низкоуглеродистой стали Вр-I, диаметр 4 мм</t>
  </si>
  <si>
    <t>Устройство покрытий наливных составом на эпоксидной смоле толщиной 2 мм, наполненным кварцевым песком</t>
  </si>
  <si>
    <t>Тип 2</t>
  </si>
  <si>
    <t>Устройство пароизоляции из полиэтиленовой пленки в один слой насухо</t>
  </si>
  <si>
    <t>Раствор готовый кладочный, цементный, М150</t>
  </si>
  <si>
    <t>Устройство покрытий из плит керамогранитных размером: 30х30 см</t>
  </si>
  <si>
    <t>Тип 2.1</t>
  </si>
  <si>
    <t>Тип 2.2</t>
  </si>
  <si>
    <t>Тип 5</t>
  </si>
  <si>
    <t>Устройство гетерогенного и гомогенного покрытия на клее со свариванием полотнищ в стыках</t>
  </si>
  <si>
    <t>Тип 4</t>
  </si>
  <si>
    <t>Устройство оснований полов из фанеры в два слоя площадью: свыше 20 м2</t>
  </si>
  <si>
    <t>Устройство гидроизоляции оклеечной рулонными материалами: на резино-битумной мастике, первый слой</t>
  </si>
  <si>
    <t>Мембрана полимерная гидроизоляционная ЭПДМ, толщина 1,0 мм</t>
  </si>
  <si>
    <t>Устройство покрытий: из досок паркетных</t>
  </si>
  <si>
    <t>Доски паркетные из дуба</t>
  </si>
  <si>
    <t>Покрытие масляными и спиртовыми лаками по окрашиваемой или огрунтованной поверхности: пола за 2 раза</t>
  </si>
  <si>
    <t>Лак алкидный, паркетный</t>
  </si>
  <si>
    <t>Плинтусы</t>
  </si>
  <si>
    <t>Устройство плинтусов: из плиток керамогранитных</t>
  </si>
  <si>
    <t>Устройство плинтусов поливинилхлоридных: на винтах самонарезающих</t>
  </si>
  <si>
    <t>Плинтус для полов из ПВХ, размер 22х49 мм с кабель-каналом</t>
  </si>
  <si>
    <t>Устройство плинтусов: деревянных</t>
  </si>
  <si>
    <t>Улучшенная окраска масляными составами по дереву: плинтусов</t>
  </si>
  <si>
    <t>Краска масляная и алкидная земляная, готовая к применению мумия МА-15</t>
  </si>
  <si>
    <t>Нанесение разметки</t>
  </si>
  <si>
    <t>Улучшенная окраска масляными составами по дереву: полов</t>
  </si>
  <si>
    <t>Краска масляная готовая к применению для наружных и внутренних работ МА-15, темно-желтая</t>
  </si>
  <si>
    <t>Раздел 2. Отделочные работы</t>
  </si>
  <si>
    <t>Потолки</t>
  </si>
  <si>
    <t>Устройство потолков: плитно-ячеистых по каркасу из оцинкованного профиля</t>
  </si>
  <si>
    <t>Устройство потолков: реечных алюминиевых</t>
  </si>
  <si>
    <t>Уголок декоративный (пристенный)</t>
  </si>
  <si>
    <t>Штукатурка поверхностей внутри здания цементно-известковым или цементным раствором по камню и бетону: улучшенная потолков</t>
  </si>
  <si>
    <t>Окраска поливинилацетатными водоэмульсионными составами улучшенная: по штукатурке потолков</t>
  </si>
  <si>
    <t>Стены</t>
  </si>
  <si>
    <t>Штукатурка поверхностей внутри здания цементно-известковым или цементным раствором по камню и бетону: улучшенная стен</t>
  </si>
  <si>
    <t>Окраска водно-дисперсионными акриловыми составами улучшенная: по штукатурке стен</t>
  </si>
  <si>
    <t>Штукатурка поверхностей внутри здания цементно-известковым или цементным раствором по камню и бетону: простая стен</t>
  </si>
  <si>
    <t>Покрытие поверхностей грунтовкой глубокого проникновения: за 1 раз стен</t>
  </si>
  <si>
    <t>Гладкая облицовка стен, столбов, пилястр и откосов (без карнизных, плинтусных и угловых плиток) без установки плиток туалетного гарнитура на клее из сухих смесей: по кирпичу и бетону</t>
  </si>
  <si>
    <t>Раздел 3. Проемы</t>
  </si>
  <si>
    <t>Окна</t>
  </si>
  <si>
    <t>Установка в жилых и общественных зданиях оконных блоков из ПВХ профилей: поворотных (откидных, поворотно-откидных) с площадью проема более 2 м2 двухстворчатых</t>
  </si>
  <si>
    <t>Установка в жилых и общественных зданиях оконных блоков из ПВХ профилей: поворотных (откидных, поворотно-откидных) с площадью проема более 2 м2 трехстворчатых, в том числе при наличии створок глухого остекления</t>
  </si>
  <si>
    <t>Блок оконный из ПВХ-профилей, трехстворчатый, с поворотно-откидной створкой, двухкамерным стеклопакетом (32 мм), площадью более 3,5 м2</t>
  </si>
  <si>
    <t>Установка подоконных досок из ПВХ: в каменных стенах толщиной до 0,51 м</t>
  </si>
  <si>
    <t>Установка уголков ПВХ на клее</t>
  </si>
  <si>
    <t>Уголок из ПВХ, размер 30х30 мм</t>
  </si>
  <si>
    <t>Облицовка оконных и дверных откосов декоративным бумажно-слоистым пластиком или листами из синтетических материалов на клее</t>
  </si>
  <si>
    <t>Сэндвич-панели для откосов наружные слои листы из поливинилхлорида, внутреннее наполнение вспененный пенополистирол белые, ширина 1,5 м, длина 3,0 м, толщина 10 мм</t>
  </si>
  <si>
    <t>Двери</t>
  </si>
  <si>
    <t>Установка противопожарных дверей: однопольных глухих</t>
  </si>
  <si>
    <t>Дверь противопожарная металлическая: однопольная ДПМ-01/60, размером 900х2100 мм</t>
  </si>
  <si>
    <t>Установка противопожарных дверей: двупольных глухих</t>
  </si>
  <si>
    <t>Дверь противопожарная металлическая: двупольная ДПМ-02/60, размером 1200х2100 мм</t>
  </si>
  <si>
    <t>Установка блоков из ПВХ в наружных и внутренних дверных проемах: в перегородках и деревянных нерубленных стенах площадью проема более 3 м2</t>
  </si>
  <si>
    <t>Установка блоков из ПВХ в наружных и внутренних дверных проемах: в каменных стенах площадью проема до 3 м2</t>
  </si>
  <si>
    <t>Блоки дверные наружные или тамбурные: с заполнением стеклопакетами (ГОСТ 30970-2002)</t>
  </si>
  <si>
    <t>Блок дверной входной из ПВХ-профилей, с простой коробкой, однопольный с офисной фурнитурой, с однокамерным стеклопакетом (24 мм), площадь более 2 м2</t>
  </si>
  <si>
    <t>Установка блоков в наружных и внутренних дверных проемах: в каменных стенах, площадь проема до 3 м2</t>
  </si>
  <si>
    <t>Установка блоков в наружных и внутренних дверных проемах: в перегородках и деревянных нерубленых стенах, площадь проема до 3 м2</t>
  </si>
  <si>
    <t>Блоки дверные внутренние: однопольные глухие, фанерованные шпоном ясеня</t>
  </si>
  <si>
    <t>Комплект скобяных изделий для блоков входных дверей в помещение однопольных</t>
  </si>
  <si>
    <t>Установка и крепление наличников</t>
  </si>
  <si>
    <t>Наличники из древесины тип Н-1, Н-2, размер 13х54 мм</t>
  </si>
  <si>
    <t>Установка: дверного доводчика</t>
  </si>
  <si>
    <t>Закрыватель дверной гидравлический рычажный в алюминиевом корпусе</t>
  </si>
  <si>
    <t>Раздел 4. Усиление проемов</t>
  </si>
  <si>
    <t>Усиление перегородок</t>
  </si>
  <si>
    <t>Усиление проемов в стенах - 3шт</t>
  </si>
  <si>
    <t>Окраска металлических конструкций</t>
  </si>
  <si>
    <t>120</t>
  </si>
  <si>
    <t>121</t>
  </si>
  <si>
    <t>Заполнение полости швеллера цементно-песчаным раствором</t>
  </si>
  <si>
    <t>Раздел 5. Ограждение лестничных маршей и площадок</t>
  </si>
  <si>
    <t>Устройство металлических ограждений: без поручней</t>
  </si>
  <si>
    <t>Раздел 6. Санитарно-технические перегородки</t>
  </si>
  <si>
    <t>128</t>
  </si>
  <si>
    <t>Устройство сантехнических перегородок: (стандартные туалетные кабины) на каркасе из алюминиевого профиля</t>
  </si>
  <si>
    <t>Раздел 7. Стремянка. Организованный водоотвод</t>
  </si>
  <si>
    <t>Водосточная система</t>
  </si>
  <si>
    <t>Устройство металлической водосточной системы: прямых звеньев труб</t>
  </si>
  <si>
    <t>Устройство металлической водосточной системы: воронок</t>
  </si>
  <si>
    <t>Устройство металлической водосточной системы: колен</t>
  </si>
  <si>
    <t>Устройство желобов: подвесных</t>
  </si>
  <si>
    <t>Раздел 8. Крыльца</t>
  </si>
  <si>
    <t>Крыльцо главного входа Кр1</t>
  </si>
  <si>
    <t>Устройство основания под фундаменты: песчаного</t>
  </si>
  <si>
    <t>Песок природный II класс, средний, круглые сита</t>
  </si>
  <si>
    <t>Устройство основания под фундаменты: щебеночного</t>
  </si>
  <si>
    <t>Кладка стен кирпичных наружных: простых при высоте этажа до 4 м</t>
  </si>
  <si>
    <t>Устройство: железобетонных крылец</t>
  </si>
  <si>
    <t>Смеси бетонные тяжелого бетона (БСТ), класс В15 (М200)</t>
  </si>
  <si>
    <t>Крыльцо Кр2</t>
  </si>
  <si>
    <t>Ограждение крыльца</t>
  </si>
  <si>
    <t>отверстий</t>
  </si>
  <si>
    <t>Монтаж ограждений</t>
  </si>
  <si>
    <t>Пандус для МГН</t>
  </si>
  <si>
    <t>194</t>
  </si>
  <si>
    <t>Копание ям вручную без креплений для стоек и столбов: с откосами глубиной до 1,5 м, группа грунтов 2</t>
  </si>
  <si>
    <t>Щебень М 800, фракция 40-80(70) мм, группа 2</t>
  </si>
  <si>
    <t>197</t>
  </si>
  <si>
    <t>Устройство фундаментов-столбов: бетонных</t>
  </si>
  <si>
    <t>Раздел 9. Ремонт цоколя</t>
  </si>
  <si>
    <t>Устройство каркаса при оштукатуривании: стен</t>
  </si>
  <si>
    <t>Сталь арматурная, горячекатаная, периодического профиля, класс А-III, диаметр 10 мм - Анкер</t>
  </si>
  <si>
    <t>Обетонирование наружных стен цоколя</t>
  </si>
  <si>
    <t>Раздел 10. Устройство отмостки</t>
  </si>
  <si>
    <t>209</t>
  </si>
  <si>
    <t>Ремонт обмазочной изоляции фундаментов</t>
  </si>
  <si>
    <t>Устройство прокладочной гидроизоляции фундаментов рулонными материалами в один слой насухо</t>
  </si>
  <si>
    <t>Геотекстиль нетканый из полипропиленового волокна, иглопробивной, термоскрепленный, поверхностная плотность 150 г/м2</t>
  </si>
  <si>
    <t>Смеси асфальтобетонные плотные тип Г марка II</t>
  </si>
  <si>
    <t>Установка бортовых камней бетонных: при других видах покрытий</t>
  </si>
  <si>
    <t>Камни бортовые БР 100.20.8, бетон В22,5 (М300), объем 0,016 м3</t>
  </si>
  <si>
    <t>Раздел 1. Размещение, утилизация и обезвреживание отходов строительного производства</t>
  </si>
  <si>
    <t>Строительный мусор IV-V класса (обработка, обезвреживание, размещение)</t>
  </si>
  <si>
    <t>3 4</t>
  </si>
  <si>
    <t>Грунтовка эпоксидная двухкомпонентная. Смола эпоксидная двухкомпонентная, на эпокси-цементной основе, цвет натуральный серый, в виде водной дисперсии, для покрытий. Лак эпоксидно-полиэфирный</t>
  </si>
  <si>
    <t>5-8</t>
  </si>
  <si>
    <t>Устройство стяжек: цементных толщиной 150 мм</t>
  </si>
  <si>
    <t>10-13</t>
  </si>
  <si>
    <t>Рейки деревянные, сечение 8х18 мм. Грунтовка воднодисперсионная. Клей для плитки (сухая смесь). Плитка керамогранитная неполированная, квадратная, толщина 8 мм</t>
  </si>
  <si>
    <t>16-20</t>
  </si>
  <si>
    <t>21-25</t>
  </si>
  <si>
    <t>26-29</t>
  </si>
  <si>
    <t>Линолеум коммерческий гетерогенный с антистатическим эффектом (толщина 2 мм, толщина защитного слоя 0,7 мм, класс 34/43, пож. безопасность Г1, В2, РП1, Д2, Т2)</t>
  </si>
  <si>
    <t>37 38</t>
  </si>
  <si>
    <t>40 41</t>
  </si>
  <si>
    <t>42 43</t>
  </si>
  <si>
    <t>44 45</t>
  </si>
  <si>
    <t>Плинтусы керамогранитные, размер 70х300х8 мм. Клей для плитки (сухая смесь). Смеси сухие водостойкие для затирки межплиточных швов шириной 1-6 мм (различная цветовая гамма)</t>
  </si>
  <si>
    <t>46-49</t>
  </si>
  <si>
    <t>50 51</t>
  </si>
  <si>
    <t>58 59</t>
  </si>
  <si>
    <t>Краска водно-дисперсионная белая</t>
  </si>
  <si>
    <t>61 62</t>
  </si>
  <si>
    <t>Грунтовка воднодисперсионная. Краска акрилатная. Колерная паста</t>
  </si>
  <si>
    <t>64-67</t>
  </si>
  <si>
    <t xml:space="preserve">Грунтовка воднодисперсионная </t>
  </si>
  <si>
    <t>69 70</t>
  </si>
  <si>
    <t>Клей плиточный. Смеси сухие водостойкие для затирки межплиточных швов шириной 1-6 мм (различная цветовая гамма). Плитки керамические глазурованные для внутренней облицовки стен: многоцветные</t>
  </si>
  <si>
    <t>71-74</t>
  </si>
  <si>
    <t>Блок оконный пластиковый: двустворчатый, с глухой и поворотно-откидной створкой, двухкамерным стеклопакетом (32 мм), площадью более 3,5 м2. Блок оконный пластиковый: двустворчатый, с глухой и поворотно-откидной створкой, двухкамерным стеклопакетом (32 мм), площадью до 2,5 м2</t>
  </si>
  <si>
    <t>78 79</t>
  </si>
  <si>
    <t>80-82</t>
  </si>
  <si>
    <t>Доски подоконные из ПВХ, ширина 400 мм. Заглушки торцевые двусторонние к подоконной доске из ПВХ, белый, мрамор, размеры 40х480 мм</t>
  </si>
  <si>
    <t>83 84</t>
  </si>
  <si>
    <t>85-87</t>
  </si>
  <si>
    <t>88 89</t>
  </si>
  <si>
    <t>90 91</t>
  </si>
  <si>
    <t>100 101</t>
  </si>
  <si>
    <t>Прокат полосовой, горячекатаный, марка стали Ст3сп, размер 50х5 мм. Сталь угловая равнополочная, марка стали: Ст3пс, шириной полок 50-50 мм</t>
  </si>
  <si>
    <t>104-108</t>
  </si>
  <si>
    <t>Усиление проемов в стенах</t>
  </si>
  <si>
    <t>Сталь угловая равнополочная, марка стали: Ст3пс, шириной полок 100-100 мм. Сталь полосовая: 100х8 мм, марка Ст3сп. Сталь арматурная, горячекатаная, периодического профиля, класс А-III, диаметр 14 мм. Гайки шестигранные, диаметр резьбы 10 мм. Шпильки черные стяжные, диаметр 10 мм, длина 250 мм. Швеллеры № 16, марка стали Ст3пс</t>
  </si>
  <si>
    <t>109-119</t>
  </si>
  <si>
    <t>122 123</t>
  </si>
  <si>
    <t>124-127</t>
  </si>
  <si>
    <t>Ограждения лестничных проемов, лестничные марши, пожарные лестницы. Состав химический тиксотропный двухкомпонентный на основе эпоксидной смолы для крепления анкеров и металлических элементов (400 мл)</t>
  </si>
  <si>
    <t>Раздел 7. Организованный водоотвод</t>
  </si>
  <si>
    <t>Труба металлическая для водосточных систем, покрытие полиэстер, диаметр 150 мм, длина 1000 мм. Труба металлическая для водосточных систем, окрашенная, ширина 125 мм, высота 76 мм, длина 2000 мм. Хомут для труб (на твердое основание) металлический для водосточных систем, покрытие полиэстер, с крепежом, диаметр 150 мм. Хомут для труб металлический для водосточных систем, окрашенный, диаметр 125 мм</t>
  </si>
  <si>
    <t>129-133</t>
  </si>
  <si>
    <t>Воронка выпускная металлическая для водосточных систем, покрытие полиэстер, диаметр 185/150 мм. Воронка выпускная металлическая для водосточных систем, окрашенная, диаметр 125/150 мм</t>
  </si>
  <si>
    <t>134-136</t>
  </si>
  <si>
    <t>Колено трубы сливное 60° металлическое для водосточных систем, покрытие полиэстер, диаметр 150 мм. Колено трубы сливное 60° металлическое для водосточных систем, окрашенное, диаметр 125 мм</t>
  </si>
  <si>
    <t>137-139</t>
  </si>
  <si>
    <t>Желоб металлический для водосточных систем, окрашенный, диаметр 125 мм, длина 3000 мм. Желоб металлический для водосточных систем, окрашенный, ширина 100 мм, высота 86 мм, длина 3000 мм. Кронштейн желоба металлический для водосточных систем, окрашенный, диаметр 125 мм, длина 320 мм. Кронштейн желоба металлический для водосточных систем, окрашенный, длина 100 мм, ширина 86 мм</t>
  </si>
  <si>
    <t>140-146</t>
  </si>
  <si>
    <t>147 148</t>
  </si>
  <si>
    <t>Щебень М 800, фракция 5(3)-20 мм, группа 2. Щебень М 800, фракция 20-40 мм, группа 2</t>
  </si>
  <si>
    <t>149-151</t>
  </si>
  <si>
    <t>Устройство фундаментных плит железобетонных: плоских</t>
  </si>
  <si>
    <t>Смеси бетонные тяжелого бетона (БСТ), класс В7,5 (М100). Проволока арматурная из низкоуглеродистой стали Вр-I, диаметр 5 мм</t>
  </si>
  <si>
    <t>152-154</t>
  </si>
  <si>
    <t>Кирпич керамический одинарный, марка 100, размер 250х120х65 мм. Раствор кладочный, цементно-известковый, М75</t>
  </si>
  <si>
    <t>155-157</t>
  </si>
  <si>
    <t>Засыпка вручную траншей, пазух котлованов и ям, группа грунтов: 1</t>
  </si>
  <si>
    <t>158 159</t>
  </si>
  <si>
    <t>Смеси бетонные тяжелого бетона (БСТ), класс В15 (М200). Проволока арматурная из низкоуглеродистой стали Вр-I, диаметр 5 мм</t>
  </si>
  <si>
    <t>160-162</t>
  </si>
  <si>
    <t>Рейки деревянные, сечение 8х18 мм. Клей для облицовочных работ водостойкий (сухая смесь). Грунтовка воднодисперсионная. Плитка керамогранитная многоцветная неполированная, размер 300х300х8 мм</t>
  </si>
  <si>
    <t>163-167</t>
  </si>
  <si>
    <t>168 169</t>
  </si>
  <si>
    <t>Щебень М 800, фракция 20-40 мм, группа 2. Щебень М 800, фракция 5(3)-20 мм, группа 2</t>
  </si>
  <si>
    <t>170-172</t>
  </si>
  <si>
    <t>173-175</t>
  </si>
  <si>
    <t>176-178</t>
  </si>
  <si>
    <t>179 180</t>
  </si>
  <si>
    <t>181-183</t>
  </si>
  <si>
    <t>184-188</t>
  </si>
  <si>
    <t>Сверление вертикальных отверстий в железобетонных конструкциях полов перфоратором глубиной 350 мм диаметром: до 20 мм</t>
  </si>
  <si>
    <t>189 190</t>
  </si>
  <si>
    <t xml:space="preserve">Ограждения лестничных проемов, лестничные марши, пожарные лестницы. Состав химический тиксотропный двухкомпонентный на основе эпоксидной смолы для крепления анкеров и металлических элементов (400 мл) </t>
  </si>
  <si>
    <t>191-193</t>
  </si>
  <si>
    <t>195 196</t>
  </si>
  <si>
    <t>Смеси бетонные тяжелого бетона (БСТ), класс В15 (М200) F100</t>
  </si>
  <si>
    <t>198-200</t>
  </si>
  <si>
    <t>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 Просечно-вытяжной прокат горячекатаный в листах мерных размеров из стали С235, шириной: 600 мм, толщиной 6 мм</t>
  </si>
  <si>
    <t>201-203</t>
  </si>
  <si>
    <t>204-206</t>
  </si>
  <si>
    <t>207 208</t>
  </si>
  <si>
    <t>Рулонный гидроизоляционный материал, состоящий из стекловолоконной основы, битумного вяжущего и защитного слоя из полимерной пленки. Материал основы: стеклохолст. Температура гибкости на брусе R=25 мм: 0°С. Теплостойкость: 80°С. Максимальная сила растяжения вдоль: не менее 450 Н. Водопоглощение в течение 24 часов: не более 1% по массе.</t>
  </si>
  <si>
    <t>210 211</t>
  </si>
  <si>
    <t>212 213</t>
  </si>
  <si>
    <t>Устройство прослойки из нетканого синтетического материала (НСМ) в земляном полотне: сплошной</t>
  </si>
  <si>
    <t>214 215</t>
  </si>
  <si>
    <t>Устройство оснований толщиной 15 см под тротуары из кирпичного или известнякового щебня</t>
  </si>
  <si>
    <t>216-219</t>
  </si>
  <si>
    <t>Устройство асфальтобетонных покрытий дорожек и тротуаров однослойных из литой мелкозернистой асфальтобетонной смеси толщиной 5 см</t>
  </si>
  <si>
    <t>220-223</t>
  </si>
  <si>
    <t>224-229</t>
  </si>
  <si>
    <t>ВЕДОМОСТЬ ОБЪЕМОВ РАБОТ № 2</t>
  </si>
  <si>
    <t>Капитальный ремонт здания БОУ г. Омска «Средняя общеобразовательная школа № 119», расположенного по адресу: г. Омск, ул. Талалихина, д. 29А</t>
  </si>
  <si>
    <t>ВЕДОМОСТЬ ОБЪЕМОВ РАБОТ № 1.1</t>
  </si>
  <si>
    <t>ВЕДОМОСТЬ ОБЪЕМОВ РАБОТ № 2.1</t>
  </si>
  <si>
    <t>ВЕДОМОСТЬ ОБЪЕМОВ РАБОТ № 5</t>
  </si>
  <si>
    <t>ВЕДОМОСТЬ ОБЪЕМОВ РАБОТ № 6</t>
  </si>
  <si>
    <t>ВЕДОМОСТЬ ОБЪЕМОВ РАБОТ № 7</t>
  </si>
  <si>
    <t>ВЕДОМОСТЬ ОБЪЕМОВ РАБОТ № 7.1</t>
  </si>
  <si>
    <t>ВЕДОМОСТЬ ОБЪЕМОВ РАБОТ № 9</t>
  </si>
  <si>
    <t>Раздел 2. УСИЛЕНИЕ В МЕСТАХ ТРЕЩИНООБРАЗОВАНИЯ: ГОРИЗОНТАЛЬНЫЕ МЕЖЭТАЖНЫЕ ПРОСТЕНКИ</t>
  </si>
  <si>
    <t>Прорезка штроборезом на поверхности стены в районе трещины горизонтальной штробы шириной 10 мм, глубиной 50 мм</t>
  </si>
  <si>
    <t>3-5</t>
  </si>
  <si>
    <t>Заполнение штробы монтажным составом (первый слой толщиной 20 мм)</t>
  </si>
  <si>
    <t>Смеси сухие строительные для защиты, гидроизоляции и ремонта бетона</t>
  </si>
  <si>
    <t>Установка арматуры диаметром 8 мм вдавливанием в первый слой монтажного состава</t>
  </si>
  <si>
    <t>Сталь арматурная, горячекатаная, периодического профиля, класс А-III, диаметр 8 мм</t>
  </si>
  <si>
    <t>8-10</t>
  </si>
  <si>
    <t>Заполнение штробы монтажным составом (второй слой толщиной 20 мм)</t>
  </si>
  <si>
    <t>11 12</t>
  </si>
  <si>
    <t>Заполнение трещин монтажным составом по всей длине заподлицо</t>
  </si>
  <si>
    <t>Раздел 3. УСИЛЕНИЕ В МЕСТАХ ТРЕЩИНООБРАЗОВАНИЯ: ВЕРТИКАЛЬНЫЕ ПРОСТЕНКИ</t>
  </si>
  <si>
    <t>13-20</t>
  </si>
  <si>
    <t>Уголок горячекатаный, размер 75х75 мм. Уголок горячекатаный, размер 63х63 мм. Сталь полосовая</t>
  </si>
  <si>
    <t>Раздел 4. ВОССТАНОВЛЕНИЕ ЗАЩИТНОГО СЛОЯ БЕТОНА ПЛИТ ПЕРЕКРЫТИЯ</t>
  </si>
  <si>
    <t>21 22</t>
  </si>
  <si>
    <t>Восстановление разрушенной части поверхности толщиной слоя 10 мм бетонных и железобетонных конструкций</t>
  </si>
  <si>
    <t>Раздел 5. ЗАПЕНИВАНИЕ СУЩЕСТВУЮЩИХ ОКОН</t>
  </si>
  <si>
    <t>Ремонт и восстановление герметизации коробок окон и балконных дверей мастикой: вулканизирующейся тиоколовой или монтажной пеной</t>
  </si>
  <si>
    <t>Пена монтажная для герметизации стыков в баллончике емкостью 0,75 л</t>
  </si>
  <si>
    <t>Раздел 6. НАНЕСЕНИЕ ЗАЩИТНОГО ГИДРОФОБНОГО ПОКРЫТИЯ НА ЦОКОЛЬ</t>
  </si>
  <si>
    <t>25 26</t>
  </si>
  <si>
    <t>Гидрофобизация поверхности штукатурки фасадов гладких с лесов: вручную</t>
  </si>
  <si>
    <t>Жидкость кремнийорганическая</t>
  </si>
  <si>
    <t>Раздел 7. ПЕРЕКЛАДКА КИРПИЧНОГО КАРНИЗА</t>
  </si>
  <si>
    <t>27 28</t>
  </si>
  <si>
    <t>Перекладка кирпичного карниза при высоте (в рядах): в 4 кирпича</t>
  </si>
  <si>
    <t>Кирпич керамический одинарный, марка 100, размер 250х120х65 мм</t>
  </si>
  <si>
    <t>Раздел 8. ВОССТАНОВЛЕНИЕ ЗАЩИТНОГО АНТИКОРРОЗИОННОГО ПОКРЫТИЯ</t>
  </si>
  <si>
    <t>30</t>
  </si>
  <si>
    <t>Раздел 9. УСТРОЙСТВО ПЕРЕГОРОДОК</t>
  </si>
  <si>
    <t>32-34</t>
  </si>
  <si>
    <t>Устройство перегородок из гипсокартонных листов (ГКЛ) с одинарным металлическим каркасом и двухслойной обшивкой с обеих сторон: глухих</t>
  </si>
  <si>
    <t>Листы гипсокартонные ГКЛ, толщина 12,5 мм. Вата минеральная акустическая толщиной 50 мм</t>
  </si>
  <si>
    <t>35-37</t>
  </si>
  <si>
    <t>Устройство перегородок из гипсокартонных листов (ГКЛ) с одинарным металлическим каркасом и двухслойной обшивкой с обеих сторон: с одним дверным проемом</t>
  </si>
  <si>
    <t>38-40</t>
  </si>
  <si>
    <t>Кладка перегородок из кирпича: армированных толщиной в 1/2 кирпича при высоте этажа до 4 м</t>
  </si>
  <si>
    <t>Раствор кладочный, цементно-известковый, М75. Кирпич керамический одинарный, марка 100, размер 250х120х65 мм</t>
  </si>
  <si>
    <t>Приложение № 5 к муниципальному контракту
от «___»________ 2026 года №______-2026/С</t>
  </si>
  <si>
    <t>Приложение № 6 к муниципальному контракту
от «___»________ 2026 года №______-2026/С</t>
  </si>
  <si>
    <t>Приложение № 7 к муниципальному контракту
от «___»________ 2026 года №______-2026/С</t>
  </si>
  <si>
    <t>Приложение № 8 к муниципальному контракту
от «___»________ 2026 года №______-2026/С</t>
  </si>
  <si>
    <t>Приложение № 9 к муниципальному контракту
от «___»________ 2026 года №______-2026/С</t>
  </si>
  <si>
    <t>Приложение № 10 к муниципальному контракту
от «___»________ 2026 года №______-2026/С</t>
  </si>
  <si>
    <t>Приложение № 11 к муниципальному контракту
от «___»________ 2026 года №______-2026/С</t>
  </si>
  <si>
    <t>Приложение № 12 к муниципальному контракту
от «___»________ 2026 года №______-2026/С</t>
  </si>
  <si>
    <t xml:space="preserve">Извещатель ПС автоматический: тепловой электро-контактный, магнитоконтактный в нормальном исполнении </t>
  </si>
  <si>
    <t>14,15</t>
  </si>
  <si>
    <t>Демонтаж стяжек: цементных толщиной 20 мм</t>
  </si>
  <si>
    <t>Установка уголков ПВХ на клее - Разборка плинтусов полистирольных</t>
  </si>
  <si>
    <t>Разборка облицовки из гипсокартонных листов: потолков - Разборка облицовки потолка из плит полистирольных</t>
  </si>
  <si>
    <t>Демонтаж: выключателей, розеток</t>
  </si>
  <si>
    <t>Демонтаж: светильников для люминесцентных ламп</t>
  </si>
  <si>
    <t>33</t>
  </si>
  <si>
    <t>Демонтаж: светильников с лампами накаливания - Демонтаж прожекторов</t>
  </si>
  <si>
    <t>34</t>
  </si>
  <si>
    <t>Демонтж. Люстры и подвесы с количеством ламп: до 12</t>
  </si>
  <si>
    <t>Прибор сигнализирующий емкостной - Демонтаж кнопки пожаротушения</t>
  </si>
  <si>
    <t>Разборка трубопроводов из водогазопроводных труб в зданиях и сооружениях на сварке диаметром: свыше 50 до 100 мм - Разборка регистров</t>
  </si>
  <si>
    <t>Демонтаж: скрытой электропроводки</t>
  </si>
  <si>
    <t>Приложение № 3 к муниципальному контракту
от «___»________ 2026 года №______-2026/С</t>
  </si>
  <si>
    <t xml:space="preserve">Ведомость объёмов работ № 1 </t>
  </si>
  <si>
    <t>Приложение № 4 к муниципальному контракту
от «___»________ 2026 года №______-2026/С</t>
  </si>
  <si>
    <t>Ссылки на чертежи</t>
  </si>
  <si>
    <t>Раздел 1. Монтажные работы</t>
  </si>
  <si>
    <t>Оборудование</t>
  </si>
  <si>
    <t>1,2</t>
  </si>
  <si>
    <t>Блок управления шкафного исполнения или распределительный пункт (шкаф), устанавливаемый: на полу, высота и ширина до 1700х1100 мм</t>
  </si>
  <si>
    <t>Вводно-распределительное устройство типа: ВРУ 1-18-80 - ГРЩ</t>
  </si>
  <si>
    <t>Щиты распределительные навесные ЩРН-36, размер 480х300х125 мм</t>
  </si>
  <si>
    <t>Щиты распределительные навесные ЩРН-24, размер 350х300х125 мм</t>
  </si>
  <si>
    <t>Щиты распределительные навесные ЩРН-12, размер 220х300х125 мм</t>
  </si>
  <si>
    <t>Выключатели автоматические: ВА47-29 3Р 40А, характеристика С</t>
  </si>
  <si>
    <t>Выключатели автоматические: ВА47-29 3Р 32А, характеристика С</t>
  </si>
  <si>
    <t>Выключатели автоматические: ВА47-29 3Р 63А, характеристика С</t>
  </si>
  <si>
    <t>Выключатели автоматические: ВА47-29 1Р 16А, характеристика С</t>
  </si>
  <si>
    <t>Выключатели автоматические: ВА47-29 3Р 16А, характеристика С</t>
  </si>
  <si>
    <t>Выключатели автоматические: ВА47-29 1Р 10А, характеристика С</t>
  </si>
  <si>
    <t>Выключатели автоматические: дифференциального тока двухполюсные АД12 2Р 16А 30мА</t>
  </si>
  <si>
    <t>15</t>
  </si>
  <si>
    <t>Выключатели автоматические дифференциального тока, количество полюсов 4, номинальный ток 16 А, дифференциальный ток 30 мА</t>
  </si>
  <si>
    <t>Электроустановочные изделия</t>
  </si>
  <si>
    <t>16-18</t>
  </si>
  <si>
    <t>Розетка штепсельная: утопленного типа при скрытой проводке</t>
  </si>
  <si>
    <t>Розетка скрытой проводки с заземлением. Рамка из термопласта 1 пост</t>
  </si>
  <si>
    <t>19,20</t>
  </si>
  <si>
    <t>Выключатель: одноклавишный утопленного типа при скрытой проводке</t>
  </si>
  <si>
    <t>Выключатель одноклавишный для скрытой проводки</t>
  </si>
  <si>
    <t>21-23</t>
  </si>
  <si>
    <t>Выключатель: двухклавишный утопленного типа при скрытой проводке</t>
  </si>
  <si>
    <t>Выключатель двухклавишный для скрытой проводки. Рамка из термопласта 1 пост -122 шт</t>
  </si>
  <si>
    <t>Коробка для установки розеток и выключателей скрытой проводки</t>
  </si>
  <si>
    <t>Светильники</t>
  </si>
  <si>
    <t>25,26</t>
  </si>
  <si>
    <t>Светильник потолочный или настенный с креплением винтами или болтами для помещений: с нормальными условиями среды, одноламповый</t>
  </si>
  <si>
    <t>Светильник аварийного освещения</t>
  </si>
  <si>
    <t>27,28</t>
  </si>
  <si>
    <t>Светильник отдельно устанавливаемый: на штырях с количеством ламп в светильнике 2</t>
  </si>
  <si>
    <t>Светильники аварийного освещения с люминесцентными лампами, в комплекте с аккумуляторными батареями, потолочно-настенные, мощность 2х8 Вт, цоколь G5, IP20, размер 490х140х62 мм</t>
  </si>
  <si>
    <t>Светильник в подвесных потолках, устанавливаемый: на закладных деталях, количество ламп в светильнике до 2</t>
  </si>
  <si>
    <t xml:space="preserve">Светильник светодиодный </t>
  </si>
  <si>
    <t>Максимальная мощность системы 30 Вт; световой поток 3000 лм; цветовая температура 4000 К; индекс цветопередачи 90-100 (класс 1А); степень защиты IP50; тип кривой силы света Д; тип напряжения – переменный (АС); диапазон рабочих напряжений 165…265 В; габариты 57х592х592 мм; материал корпуса пластик; климатическое исполнение УХЛ4; тип монтажа: универсальный</t>
  </si>
  <si>
    <t>Максимальная мощность системы 30 Вт; световой поток 3000 лм; цветовая температура 4000 К; индекс цветопередачи 90-100 (класс 1А); степень защиты IP50; тип кривой силы света Д; тип напряжения – переменный (АС); диапазон рабочих напряжений 165…430 В; габариты 57х592х592 мм; материал корпуса пластик; климатическое исполнение УХЛ4; тип монтажа: универсальный</t>
  </si>
  <si>
    <t>Максимальная мощность системы 50 Вт; световой поток 5000 лм; цветовая температура 4000 К; индекс цветопередачи 90-100 (класс 1А); степень защиты IP50; тип кривой силы света Д; тип напряжения – переменный (АС); габариты 57х592х592 мм; материал корпуса пластик; климатическое исполнение УХЛ4; тип монтажа: универсальный</t>
  </si>
  <si>
    <t>33,34</t>
  </si>
  <si>
    <t>Максимальная мощность системы 30 Вт; световой поток 3850 лм; цветовая температура 4000 К; индекс цветопередачи 80-89 (класс 1В); степень защиты IP20; тип кривой силы света Д; тип напряжения – переменный (АС); диапазон рабочих напряжений 165…265 В; габариты 56.5х200х1200 мм; материал корпуса пластик; тип монтажа: универсальный</t>
  </si>
  <si>
    <t>35,36</t>
  </si>
  <si>
    <t>Светильник: местного освещения</t>
  </si>
  <si>
    <t>Максимальная мощность системы 30 Вт; световой поток 3300 лм; цветовая температура 4000 К; индекс цветопередачи 80-89 (класс 1В); степень защиты IP20; тип кривой силы света Д; тип напряжения – переменный (АС)</t>
  </si>
  <si>
    <t>37,38</t>
  </si>
  <si>
    <t>Светильник: с подвеской к смонтированной тросовой проводке</t>
  </si>
  <si>
    <t>Мощность: 112 Вт; цветовая температура: 4000 К; световой поток: 17920 лм; напряжение питания: 220 В; защита от пыли и влаги: IP66; поворотное крепление</t>
  </si>
  <si>
    <t>Трубы, кабель</t>
  </si>
  <si>
    <t>Трубы гибкие гофрированные легкие из самозатухающего ПВХ (IP55) серии FL, с зондом, диаметром: 25 мм</t>
  </si>
  <si>
    <t>Трубы из самозатухающего ПВХ гибкие гофрированные, легкие, с зондом, номинальный внутренний диаметр 32 мм</t>
  </si>
  <si>
    <t>Клипса для крепежа гофротрубы, номинальный диаметр 32 мм</t>
  </si>
  <si>
    <t>Затягивание провода в проложенные трубы и металлические рукава первого одножильного или многожильного в общей оплетке, суммарное сечение: до 16 мм2</t>
  </si>
  <si>
    <t>Затягивание провода в проложенные трубы и металлические рукава первого одножильного или многожильного в общей оплетке, суммарное сечение: до 35 мм2</t>
  </si>
  <si>
    <t>Затягивание провода в проложенные трубы и металлические рукава первого одножильного или многожильного в общей оплетке, суммарное сечение: до 120 мм2</t>
  </si>
  <si>
    <t>Затягивание провода в проложенные трубы и металлические рукава каждого последующего одножильного или многожильного в общей оплетке, суммарное сечение: до 6 мм2</t>
  </si>
  <si>
    <t>Затягивание провода в проложенные трубы и металлические рукава каждого последующего одножильного или многожильного в общей оплетке, суммарное сечение: до 35 мм2</t>
  </si>
  <si>
    <t>Провод групповой в защитной оболочке или кабель трех-пятижильный: под штукатурку по стенам или в бороздах</t>
  </si>
  <si>
    <t>Кабель силовой ВВГнг(А)-LSLTx 3x1,5 ок(N, PE)-0.66</t>
  </si>
  <si>
    <t>Кабель силовой ВВГнг(А)-LSLTx 3x2,5 ок(N, PE)-0.66</t>
  </si>
  <si>
    <t>Кабель силовой ВВГнг(А)-LSLTx 5x2,5 ок(N, PE)-0.66</t>
  </si>
  <si>
    <t>53</t>
  </si>
  <si>
    <t>Кабель силовой ВВГнг(А)-LSLTx 5x4 ок(N, PE)-0.66</t>
  </si>
  <si>
    <t>Кабель силовой ВВГнг(А)-LSLTx 5x6 ок(N, PE)-0.66</t>
  </si>
  <si>
    <t>Кабель силовой ВВГнг(А)-LSLTx 5x16 ок(N, PE)-0.66</t>
  </si>
  <si>
    <t>Кабель силовой ВВГнг(А)-FRLSLTx 5x2.5 ок(N, PE)-0.66</t>
  </si>
  <si>
    <t>Кабель силовой ВВГнг(А)-FRLSLTx 3x2.5 ок(N, PE)-0.66</t>
  </si>
  <si>
    <t>Провод силовой установочный с медными жилами ПуГВ 1х4-450</t>
  </si>
  <si>
    <t>Провод силовой установочный с медными жилами ПуГВ 1х25-450</t>
  </si>
  <si>
    <t>60,61</t>
  </si>
  <si>
    <t>Труба стальная по установленным конструкциям, по стенам с креплением скобами, диаметр: до 40 мм</t>
  </si>
  <si>
    <t>Трубы стальные сварные неоцинкованные водогазопроводные с резьбой, обыкновенные, номинальный диаметр 32 мм, толщина стенки 3,2 мм</t>
  </si>
  <si>
    <t>62-64</t>
  </si>
  <si>
    <t>Пена монтажная полиуретановая противопожарная однокомпонентная модифицированная для заполнения, уплотнения, утепления, изоляции и соединения швов и стыков в местах с повышенными требованиями пожарной безопасности (0,88 л) - 30 шт</t>
  </si>
  <si>
    <t>65</t>
  </si>
  <si>
    <t>Коробка распаечная для открытой проводки размером 240х195х90 мм, IP55</t>
  </si>
  <si>
    <t>66</t>
  </si>
  <si>
    <t>Стяжка нейлоновая PER15 длиной 300 мм под винт</t>
  </si>
  <si>
    <t>Молниезащита</t>
  </si>
  <si>
    <t>67,68</t>
  </si>
  <si>
    <t>Заземлитель вертикальный из круглой стали диаметром: 16 мм</t>
  </si>
  <si>
    <t>Стержень стальной для грунтовых забивных анкеров, оцинкованный, периодического профиля, диаметр 16 мм, длина 3000 мм</t>
  </si>
  <si>
    <t>69</t>
  </si>
  <si>
    <t>Заземлитель горизонтальный из стали: полосовой сечением 160 мм2</t>
  </si>
  <si>
    <t>70, 71</t>
  </si>
  <si>
    <t>Проводник заземляющий открыто по строительным основаниям: из полосовой стали сечением 100 мм2</t>
  </si>
  <si>
    <t>72</t>
  </si>
  <si>
    <t>Сталь листовая оцинкованная холоднокатаная толщиной: 4 мм</t>
  </si>
  <si>
    <t>73</t>
  </si>
  <si>
    <t>Коробка разветвительная для открытой проводки размером 80х80х40 мм</t>
  </si>
  <si>
    <t>ППЗ</t>
  </si>
  <si>
    <t>74,75,78</t>
  </si>
  <si>
    <t>Трубы гибкие гофрированные легкие из самозатухающего ПВХ (IP55) серии FL, с зондом, диаметром: 25 мм.
Клипса для крепежа гофротрубы, номинальный диаметр 32 мм</t>
  </si>
  <si>
    <t>76,77</t>
  </si>
  <si>
    <t xml:space="preserve">Трубы стальные сварные неоцинкованные водогазопроводные с резьбой, обыкновенные, номинальный диаметр 25 мм, толщина стенки 3,2 мм
</t>
  </si>
  <si>
    <t>79,80</t>
  </si>
  <si>
    <t xml:space="preserve">Кабель силовой ВВГнг(А)-FRLSLTx 3x1.5 ок(N, PE)-0.66 - 642,6 м
</t>
  </si>
  <si>
    <t>81</t>
  </si>
  <si>
    <t xml:space="preserve">Коробка ответвительная огнестойкая стальная 150х150х80 4P </t>
  </si>
  <si>
    <t>Ведомость объёмов работ № 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</si>
</sst>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000"/>
    <numFmt numFmtId="165" formatCode="0.0000"/>
    <numFmt numFmtId="166" formatCode="0.0"/>
    <numFmt numFmtId="167" formatCode="0.000"/>
    <numFmt numFmtId="168" formatCode="0.0000000"/>
    <numFmt numFmtId="169" formatCode="0.000000"/>
  </numFmts>
  <fonts count="23" x14ac:knownFonts="1">
    <font>
      <sz val="11"/>
      <color rgb="FF000000"/>
      <name val="Calibri"/>
      <charset val="204"/>
    </font>
    <font>
      <sz val="8"/>
      <color rgb="FF000000"/>
      <name val="Arial"/>
      <family val="2"/>
      <charset val="204"/>
    </font>
    <font>
      <b/>
      <sz val="9"/>
      <color rgb="FF000000"/>
      <name val="Arial"/>
      <family val="2"/>
      <charset val="204"/>
    </font>
    <font>
      <sz val="8"/>
      <color rgb="FF000000"/>
      <name val="Times New Roman"/>
      <family val="1"/>
      <charset val="204"/>
    </font>
    <font>
      <sz val="11"/>
      <color rgb="FF000000"/>
      <name val="Times New Roman"/>
      <family val="1"/>
      <charset val="204"/>
    </font>
    <font>
      <b/>
      <sz val="9"/>
      <color rgb="FF000000"/>
      <name val="Times New Roman"/>
      <family val="1"/>
      <charset val="204"/>
    </font>
    <font>
      <sz val="8"/>
      <name val="Times New Roman"/>
      <family val="1"/>
      <charset val="204"/>
    </font>
    <font>
      <b/>
      <sz val="8"/>
      <color rgb="FF000000"/>
      <name val="Times New Roman"/>
      <family val="1"/>
      <charset val="204"/>
    </font>
    <font>
      <sz val="11"/>
      <color rgb="FF000000"/>
      <name val="Calibri"/>
      <family val="2"/>
      <charset val="204"/>
    </font>
    <font>
      <b/>
      <sz val="8"/>
      <color rgb="FF000000"/>
      <name val="Arial"/>
      <family val="2"/>
      <charset val="204"/>
    </font>
    <font>
      <sz val="11"/>
      <color theme="1"/>
      <name val="Times New Roman"/>
      <family val="1"/>
      <charset val="204"/>
    </font>
    <font>
      <sz val="10"/>
      <color theme="1"/>
      <name val="Times New Roman"/>
      <family val="1"/>
      <charset val="204"/>
    </font>
    <font>
      <b/>
      <sz val="10"/>
      <color theme="1"/>
      <name val="Times New Roman"/>
      <family val="1"/>
      <charset val="204"/>
    </font>
    <font>
      <b/>
      <sz val="11"/>
      <color theme="1"/>
      <name val="Calibri"/>
      <family val="2"/>
      <charset val="204"/>
      <scheme val="minor"/>
    </font>
    <font>
      <b/>
      <sz val="14"/>
      <color rgb="FF000000"/>
      <name val="Arial"/>
      <charset val="204"/>
    </font>
    <font>
      <sz val="8"/>
      <color rgb="FF000000"/>
      <name val="Arial"/>
      <charset val="204"/>
    </font>
    <font>
      <b/>
      <sz val="9"/>
      <color rgb="FF000000"/>
      <name val="Arial"/>
      <charset val="204"/>
    </font>
    <font>
      <b/>
      <sz val="8"/>
      <color rgb="FF000000"/>
      <name val="Arial"/>
      <charset val="204"/>
    </font>
    <font>
      <sz val="8"/>
      <color rgb="FFFF0000"/>
      <name val="Arial"/>
      <charset val="204"/>
    </font>
    <font>
      <sz val="10"/>
      <color rgb="FF000000"/>
      <name val="Times New Roman"/>
      <family val="1"/>
      <charset val="204"/>
    </font>
    <font>
      <b/>
      <sz val="14"/>
      <color rgb="FF000000"/>
      <name val="Arial"/>
      <family val="2"/>
      <charset val="204"/>
    </font>
    <font>
      <b/>
      <sz val="14"/>
      <color rgb="FF000000"/>
      <name val="Times New Roman"/>
      <family val="1"/>
      <charset val="204"/>
    </font>
    <font>
      <sz val="8"/>
      <color rgb="FFFF0000"/>
      <name val="Times New Roman"/>
      <family val="1"/>
      <charset val="20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8" fillId="0" borderId="0"/>
    <xf numFmtId="0" fontId="8" fillId="0" borderId="0"/>
  </cellStyleXfs>
  <cellXfs count="130">
    <xf numFmtId="0" fontId="0" fillId="0" borderId="0" xfId="0"/>
    <xf numFmtId="49" fontId="1" fillId="0" borderId="0" xfId="0" applyNumberFormat="1" applyFont="1"/>
    <xf numFmtId="0" fontId="1" fillId="0" borderId="0" xfId="0" applyFont="1"/>
    <xf numFmtId="0" fontId="1"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horizontal="right" vertical="top" wrapText="1"/>
    </xf>
    <xf numFmtId="0" fontId="2" fillId="0" borderId="0" xfId="0" applyFont="1" applyAlignment="1">
      <alignment horizontal="left" vertical="center" wrapText="1"/>
    </xf>
    <xf numFmtId="49" fontId="3" fillId="0" borderId="0" xfId="0" applyNumberFormat="1" applyFont="1"/>
    <xf numFmtId="0" fontId="3" fillId="0" borderId="0" xfId="0" applyFont="1"/>
    <xf numFmtId="49" fontId="3" fillId="0" borderId="0" xfId="0" applyNumberFormat="1" applyFont="1" applyAlignment="1">
      <alignment vertical="center"/>
    </xf>
    <xf numFmtId="0" fontId="4" fillId="0" borderId="0" xfId="0" applyFont="1"/>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top"/>
    </xf>
    <xf numFmtId="49"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 fontId="3" fillId="0" borderId="1" xfId="0" applyNumberFormat="1" applyFont="1" applyBorder="1" applyAlignment="1">
      <alignment horizontal="right" vertical="top" wrapText="1"/>
    </xf>
    <xf numFmtId="0" fontId="7" fillId="0" borderId="0" xfId="0" applyFont="1" applyAlignment="1">
      <alignment vertical="top" wrapText="1"/>
    </xf>
    <xf numFmtId="0" fontId="3" fillId="0" borderId="1" xfId="1" applyFont="1" applyBorder="1" applyAlignment="1">
      <alignment horizontal="left" vertical="top" wrapText="1"/>
    </xf>
    <xf numFmtId="0" fontId="3" fillId="0" borderId="1" xfId="2" applyFont="1" applyBorder="1" applyAlignment="1">
      <alignment horizontal="left" vertical="top" wrapText="1"/>
    </xf>
    <xf numFmtId="0" fontId="6" fillId="0" borderId="2" xfId="0" applyFont="1" applyBorder="1" applyAlignment="1">
      <alignment horizontal="justify" vertical="top" wrapText="1"/>
    </xf>
    <xf numFmtId="0" fontId="8" fillId="0" borderId="0" xfId="1"/>
    <xf numFmtId="0" fontId="9" fillId="0" borderId="0" xfId="1" applyFont="1" applyAlignment="1">
      <alignment horizontal="left" vertical="center" wrapText="1"/>
    </xf>
    <xf numFmtId="0" fontId="9" fillId="0" borderId="0" xfId="1" applyFont="1" applyAlignment="1">
      <alignment vertical="top" wrapText="1"/>
    </xf>
    <xf numFmtId="49" fontId="3" fillId="0" borderId="0" xfId="1" applyNumberFormat="1" applyFont="1"/>
    <xf numFmtId="0" fontId="3" fillId="0" borderId="0" xfId="1" applyFont="1"/>
    <xf numFmtId="49" fontId="3" fillId="0" borderId="0" xfId="1" applyNumberFormat="1" applyFont="1" applyAlignment="1">
      <alignment vertical="center"/>
    </xf>
    <xf numFmtId="0" fontId="4" fillId="0" borderId="0" xfId="1" applyFont="1"/>
    <xf numFmtId="49" fontId="3" fillId="0" borderId="1" xfId="1" applyNumberFormat="1" applyFont="1" applyBorder="1" applyAlignment="1">
      <alignment horizontal="center" vertical="center" wrapText="1"/>
    </xf>
    <xf numFmtId="0" fontId="3" fillId="0" borderId="1" xfId="1" applyFont="1" applyBorder="1" applyAlignment="1">
      <alignment horizontal="center" vertical="center" wrapText="1"/>
    </xf>
    <xf numFmtId="49" fontId="3" fillId="0" borderId="1" xfId="1" applyNumberFormat="1" applyFont="1" applyBorder="1" applyAlignment="1">
      <alignment horizontal="center" vertical="center"/>
    </xf>
    <xf numFmtId="0" fontId="3" fillId="0" borderId="1" xfId="1" applyFont="1" applyBorder="1" applyAlignment="1">
      <alignment horizontal="center" vertical="center"/>
    </xf>
    <xf numFmtId="0" fontId="3" fillId="0" borderId="1" xfId="1" applyFont="1" applyBorder="1" applyAlignment="1">
      <alignment horizontal="center" vertical="top"/>
    </xf>
    <xf numFmtId="49" fontId="3" fillId="0" borderId="1" xfId="1" applyNumberFormat="1" applyFont="1" applyBorder="1" applyAlignment="1">
      <alignment horizontal="center" vertical="top" wrapText="1"/>
    </xf>
    <xf numFmtId="0" fontId="3" fillId="0" borderId="1" xfId="1" applyFont="1" applyBorder="1" applyAlignment="1">
      <alignment horizontal="center" vertical="top" wrapText="1"/>
    </xf>
    <xf numFmtId="0" fontId="3" fillId="0" borderId="1" xfId="1" applyFont="1" applyBorder="1" applyAlignment="1">
      <alignment horizontal="right" vertical="top" wrapText="1"/>
    </xf>
    <xf numFmtId="164" fontId="3" fillId="0" borderId="1" xfId="1" applyNumberFormat="1" applyFont="1" applyBorder="1" applyAlignment="1">
      <alignment horizontal="right" vertical="top" wrapText="1"/>
    </xf>
    <xf numFmtId="1" fontId="3" fillId="0" borderId="1" xfId="1" applyNumberFormat="1" applyFont="1" applyBorder="1" applyAlignment="1">
      <alignment horizontal="right" vertical="top" wrapText="1"/>
    </xf>
    <xf numFmtId="2" fontId="3" fillId="0" borderId="1" xfId="1" applyNumberFormat="1" applyFont="1" applyBorder="1" applyAlignment="1">
      <alignment horizontal="right" vertical="top" wrapText="1"/>
    </xf>
    <xf numFmtId="165" fontId="3" fillId="0" borderId="1" xfId="1" applyNumberFormat="1" applyFont="1" applyBorder="1" applyAlignment="1">
      <alignment horizontal="right" vertical="top" wrapText="1"/>
    </xf>
    <xf numFmtId="166" fontId="3" fillId="0" borderId="1" xfId="1" applyNumberFormat="1" applyFont="1" applyBorder="1" applyAlignment="1">
      <alignment horizontal="right" vertical="top" wrapText="1"/>
    </xf>
    <xf numFmtId="0" fontId="1" fillId="0" borderId="0" xfId="1" applyFont="1"/>
    <xf numFmtId="0" fontId="1" fillId="0" borderId="0" xfId="1" applyFont="1" applyAlignment="1">
      <alignment horizontal="left" vertical="center" wrapText="1"/>
    </xf>
    <xf numFmtId="0" fontId="1" fillId="0" borderId="0" xfId="1" applyFont="1" applyAlignment="1">
      <alignment horizontal="left" vertical="top" wrapText="1"/>
    </xf>
    <xf numFmtId="0" fontId="2" fillId="0" borderId="0" xfId="1" applyFont="1" applyAlignment="1">
      <alignment horizontal="left" vertical="center" wrapText="1"/>
    </xf>
    <xf numFmtId="49" fontId="1" fillId="0" borderId="0" xfId="1" applyNumberFormat="1" applyFont="1"/>
    <xf numFmtId="0" fontId="1" fillId="0" borderId="0" xfId="1" applyFont="1" applyAlignment="1">
      <alignment horizontal="right" vertical="top" wrapText="1"/>
    </xf>
    <xf numFmtId="0" fontId="7" fillId="0" borderId="0" xfId="1" applyFont="1" applyAlignment="1">
      <alignment vertical="top" wrapText="1"/>
    </xf>
    <xf numFmtId="167" fontId="3" fillId="0" borderId="1" xfId="1" applyNumberFormat="1" applyFont="1" applyBorder="1" applyAlignment="1">
      <alignment horizontal="right" vertical="top" wrapText="1"/>
    </xf>
    <xf numFmtId="168" fontId="3" fillId="0" borderId="1" xfId="1" applyNumberFormat="1" applyFont="1" applyBorder="1" applyAlignment="1">
      <alignment horizontal="right" vertical="top" wrapText="1"/>
    </xf>
    <xf numFmtId="169" fontId="3" fillId="0" borderId="1" xfId="1" applyNumberFormat="1" applyFont="1" applyBorder="1" applyAlignment="1">
      <alignment horizontal="right" vertical="top" wrapText="1"/>
    </xf>
    <xf numFmtId="0" fontId="10" fillId="0" borderId="0" xfId="0" applyFont="1"/>
    <xf numFmtId="0" fontId="11" fillId="0" borderId="0" xfId="0" applyFont="1"/>
    <xf numFmtId="49" fontId="15" fillId="0" borderId="0" xfId="0" applyNumberFormat="1" applyFont="1" applyFill="1" applyBorder="1" applyAlignment="1" applyProtection="1">
      <alignment vertical="center"/>
    </xf>
    <xf numFmtId="49" fontId="15" fillId="0" borderId="1" xfId="0" applyNumberFormat="1" applyFont="1" applyFill="1" applyBorder="1" applyAlignment="1" applyProtection="1">
      <alignment horizontal="center" vertical="center" wrapText="1"/>
    </xf>
    <xf numFmtId="0" fontId="15" fillId="0" borderId="1" xfId="0" applyNumberFormat="1" applyFont="1" applyFill="1" applyBorder="1" applyAlignment="1" applyProtection="1">
      <alignment horizontal="center" vertical="center" wrapText="1"/>
    </xf>
    <xf numFmtId="49" fontId="15" fillId="0" borderId="1"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top"/>
    </xf>
    <xf numFmtId="49" fontId="15" fillId="0" borderId="1" xfId="0" applyNumberFormat="1" applyFont="1" applyFill="1" applyBorder="1" applyAlignment="1" applyProtection="1">
      <alignment horizontal="center" vertical="top" wrapText="1"/>
    </xf>
    <xf numFmtId="0" fontId="15" fillId="0" borderId="1" xfId="0" applyNumberFormat="1" applyFont="1" applyFill="1" applyBorder="1" applyAlignment="1" applyProtection="1">
      <alignment horizontal="left" vertical="top" wrapText="1"/>
    </xf>
    <xf numFmtId="0" fontId="15" fillId="0" borderId="1" xfId="0" applyNumberFormat="1" applyFont="1" applyFill="1" applyBorder="1" applyAlignment="1" applyProtection="1">
      <alignment horizontal="center" vertical="top" wrapText="1"/>
    </xf>
    <xf numFmtId="166" fontId="15" fillId="0" borderId="1" xfId="0" applyNumberFormat="1" applyFont="1" applyFill="1" applyBorder="1" applyAlignment="1" applyProtection="1">
      <alignment horizontal="right" vertical="top" wrapText="1"/>
    </xf>
    <xf numFmtId="2" fontId="15" fillId="0" borderId="1" xfId="0" applyNumberFormat="1" applyFont="1" applyFill="1" applyBorder="1" applyAlignment="1" applyProtection="1">
      <alignment horizontal="right" vertical="top" wrapText="1"/>
    </xf>
    <xf numFmtId="167" fontId="15" fillId="0" borderId="1" xfId="0" applyNumberFormat="1" applyFont="1" applyFill="1" applyBorder="1" applyAlignment="1" applyProtection="1">
      <alignment horizontal="right" vertical="top" wrapText="1"/>
    </xf>
    <xf numFmtId="0" fontId="15" fillId="2" borderId="1" xfId="0" applyNumberFormat="1" applyFont="1" applyFill="1" applyBorder="1" applyAlignment="1" applyProtection="1">
      <alignment horizontal="center" vertical="top"/>
    </xf>
    <xf numFmtId="49" fontId="15" fillId="2" borderId="1" xfId="0" applyNumberFormat="1" applyFont="1" applyFill="1" applyBorder="1" applyAlignment="1" applyProtection="1">
      <alignment horizontal="center" vertical="top" wrapText="1"/>
    </xf>
    <xf numFmtId="0" fontId="15" fillId="2" borderId="1" xfId="0" applyNumberFormat="1" applyFont="1" applyFill="1" applyBorder="1" applyAlignment="1" applyProtection="1">
      <alignment horizontal="left" vertical="top" wrapText="1"/>
    </xf>
    <xf numFmtId="0" fontId="15" fillId="2" borderId="1" xfId="0" applyNumberFormat="1" applyFont="1" applyFill="1" applyBorder="1" applyAlignment="1" applyProtection="1">
      <alignment horizontal="center" vertical="top" wrapText="1"/>
    </xf>
    <xf numFmtId="2" fontId="15" fillId="2" borderId="1" xfId="0" applyNumberFormat="1" applyFont="1" applyFill="1" applyBorder="1" applyAlignment="1" applyProtection="1">
      <alignment horizontal="right" vertical="top" wrapText="1"/>
    </xf>
    <xf numFmtId="1" fontId="15" fillId="2" borderId="1" xfId="0" applyNumberFormat="1" applyFont="1" applyFill="1" applyBorder="1" applyAlignment="1" applyProtection="1">
      <alignment horizontal="right" vertical="top" wrapText="1"/>
    </xf>
    <xf numFmtId="1" fontId="15" fillId="0" borderId="1" xfId="0" applyNumberFormat="1" applyFont="1" applyFill="1" applyBorder="1" applyAlignment="1" applyProtection="1">
      <alignment horizontal="right" vertical="top" wrapText="1"/>
    </xf>
    <xf numFmtId="0" fontId="3" fillId="2" borderId="1" xfId="1" applyFont="1" applyFill="1" applyBorder="1" applyAlignment="1">
      <alignment horizontal="right" vertical="top" wrapText="1"/>
    </xf>
    <xf numFmtId="168" fontId="15" fillId="2" borderId="1" xfId="0" applyNumberFormat="1" applyFont="1" applyFill="1" applyBorder="1" applyAlignment="1" applyProtection="1">
      <alignment horizontal="right" vertical="top" wrapText="1"/>
    </xf>
    <xf numFmtId="0" fontId="14" fillId="0" borderId="0" xfId="0" applyNumberFormat="1" applyFont="1" applyFill="1" applyBorder="1" applyAlignment="1" applyProtection="1">
      <alignment horizontal="center"/>
    </xf>
    <xf numFmtId="0" fontId="16" fillId="0" borderId="0" xfId="0" applyNumberFormat="1" applyFont="1" applyFill="1" applyBorder="1" applyAlignment="1" applyProtection="1">
      <alignment horizontal="left" vertical="center" wrapText="1"/>
    </xf>
    <xf numFmtId="0" fontId="15" fillId="0" borderId="0" xfId="0" applyNumberFormat="1" applyFont="1" applyFill="1" applyBorder="1" applyAlignment="1" applyProtection="1"/>
    <xf numFmtId="0" fontId="17" fillId="0" borderId="0" xfId="0" applyNumberFormat="1" applyFont="1" applyFill="1" applyBorder="1" applyAlignment="1" applyProtection="1">
      <alignment horizontal="left" vertical="center" wrapText="1"/>
    </xf>
    <xf numFmtId="0" fontId="17" fillId="0" borderId="0" xfId="0" applyNumberFormat="1" applyFont="1" applyFill="1" applyBorder="1" applyAlignment="1" applyProtection="1">
      <alignment vertical="top" wrapText="1"/>
    </xf>
    <xf numFmtId="0" fontId="18" fillId="0" borderId="0" xfId="0" applyNumberFormat="1" applyFont="1" applyFill="1" applyBorder="1" applyAlignment="1" applyProtection="1"/>
    <xf numFmtId="49" fontId="15" fillId="0" borderId="0" xfId="0" applyNumberFormat="1" applyFont="1" applyFill="1" applyBorder="1" applyAlignment="1" applyProtection="1"/>
    <xf numFmtId="0" fontId="15" fillId="0" borderId="0" xfId="0" applyNumberFormat="1" applyFont="1" applyFill="1" applyBorder="1" applyAlignment="1" applyProtection="1">
      <alignment horizontal="left" vertical="center" wrapText="1"/>
    </xf>
    <xf numFmtId="0" fontId="15" fillId="0" borderId="0" xfId="0" applyNumberFormat="1" applyFont="1" applyFill="1" applyBorder="1" applyAlignment="1" applyProtection="1">
      <alignment vertical="top" wrapText="1"/>
    </xf>
    <xf numFmtId="0" fontId="15" fillId="0" borderId="0" xfId="0" applyNumberFormat="1" applyFont="1" applyFill="1" applyBorder="1" applyAlignment="1" applyProtection="1">
      <alignment horizontal="right" vertical="top" wrapText="1"/>
    </xf>
    <xf numFmtId="0" fontId="20" fillId="0" borderId="0" xfId="0" applyNumberFormat="1" applyFont="1" applyFill="1" applyBorder="1" applyAlignment="1" applyProtection="1">
      <alignment horizontal="center"/>
    </xf>
    <xf numFmtId="0" fontId="6" fillId="0" borderId="1" xfId="0" applyFont="1" applyBorder="1" applyAlignment="1">
      <alignment horizontal="left" vertical="top" wrapText="1"/>
    </xf>
    <xf numFmtId="49" fontId="3" fillId="0" borderId="0" xfId="0" applyNumberFormat="1" applyFont="1" applyFill="1" applyBorder="1" applyAlignment="1" applyProtection="1"/>
    <xf numFmtId="0" fontId="3" fillId="0" borderId="0" xfId="0" applyNumberFormat="1" applyFont="1" applyFill="1" applyBorder="1" applyAlignment="1" applyProtection="1"/>
    <xf numFmtId="0" fontId="3" fillId="0" borderId="0" xfId="0" applyNumberFormat="1" applyFont="1" applyFill="1" applyBorder="1" applyAlignment="1" applyProtection="1">
      <alignment horizontal="left" vertical="center" wrapText="1"/>
    </xf>
    <xf numFmtId="0" fontId="3" fillId="0" borderId="0" xfId="0" applyNumberFormat="1" applyFont="1" applyFill="1" applyBorder="1" applyAlignment="1" applyProtection="1">
      <alignment vertical="top" wrapText="1"/>
    </xf>
    <xf numFmtId="0" fontId="3" fillId="0" borderId="0" xfId="0" applyNumberFormat="1" applyFont="1" applyFill="1" applyBorder="1" applyAlignment="1" applyProtection="1">
      <alignment horizontal="right" vertical="top" wrapText="1"/>
    </xf>
    <xf numFmtId="0" fontId="21" fillId="0" borderId="0" xfId="0" applyNumberFormat="1" applyFont="1" applyFill="1" applyBorder="1" applyAlignment="1" applyProtection="1">
      <alignment horizontal="center"/>
    </xf>
    <xf numFmtId="49" fontId="3" fillId="0" borderId="0" xfId="0" applyNumberFormat="1" applyFont="1" applyFill="1" applyBorder="1" applyAlignment="1" applyProtection="1">
      <alignment vertical="center"/>
    </xf>
    <xf numFmtId="49" fontId="3"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5" fillId="0" borderId="0" xfId="0" applyNumberFormat="1" applyFont="1" applyFill="1" applyBorder="1" applyAlignment="1" applyProtection="1">
      <alignment horizontal="left" vertical="center" wrapText="1"/>
    </xf>
    <xf numFmtId="0" fontId="7" fillId="0" borderId="0"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horizontal="center" vertical="top"/>
    </xf>
    <xf numFmtId="49" fontId="3" fillId="0" borderId="1" xfId="0" applyNumberFormat="1" applyFont="1" applyFill="1" applyBorder="1" applyAlignment="1" applyProtection="1">
      <alignment horizontal="center" vertical="top" wrapText="1"/>
    </xf>
    <xf numFmtId="0" fontId="3" fillId="0" borderId="1" xfId="0" applyNumberFormat="1" applyFont="1" applyFill="1" applyBorder="1" applyAlignment="1" applyProtection="1">
      <alignment horizontal="left" vertical="top" wrapText="1"/>
    </xf>
    <xf numFmtId="0" fontId="3" fillId="0" borderId="1" xfId="0" applyNumberFormat="1" applyFont="1" applyFill="1" applyBorder="1" applyAlignment="1" applyProtection="1">
      <alignment horizontal="center" vertical="top" wrapText="1"/>
    </xf>
    <xf numFmtId="1" fontId="3" fillId="0" borderId="1" xfId="0" applyNumberFormat="1" applyFont="1" applyFill="1" applyBorder="1" applyAlignment="1" applyProtection="1">
      <alignment horizontal="right" vertical="top" wrapText="1"/>
    </xf>
    <xf numFmtId="166" fontId="3" fillId="0" borderId="1" xfId="0" applyNumberFormat="1" applyFont="1" applyFill="1" applyBorder="1" applyAlignment="1" applyProtection="1">
      <alignment horizontal="right" vertical="top" wrapText="1"/>
    </xf>
    <xf numFmtId="165" fontId="3" fillId="0" borderId="1" xfId="0" applyNumberFormat="1" applyFont="1" applyFill="1" applyBorder="1" applyAlignment="1" applyProtection="1">
      <alignment horizontal="right" vertical="top" wrapText="1"/>
    </xf>
    <xf numFmtId="0" fontId="7" fillId="0" borderId="0" xfId="0" applyNumberFormat="1" applyFont="1" applyFill="1" applyBorder="1" applyAlignment="1" applyProtection="1">
      <alignment vertical="top" wrapText="1"/>
    </xf>
    <xf numFmtId="0" fontId="22" fillId="0" borderId="0" xfId="0" applyNumberFormat="1" applyFont="1" applyFill="1" applyBorder="1" applyAlignment="1" applyProtection="1"/>
    <xf numFmtId="0" fontId="19" fillId="0" borderId="0" xfId="0" applyNumberFormat="1" applyFont="1" applyFill="1" applyBorder="1" applyAlignment="1" applyProtection="1">
      <alignment horizontal="center" wrapText="1"/>
    </xf>
    <xf numFmtId="0" fontId="19" fillId="0" borderId="0" xfId="0" applyNumberFormat="1" applyFont="1" applyFill="1" applyBorder="1" applyAlignment="1" applyProtection="1">
      <alignment horizontal="center"/>
    </xf>
    <xf numFmtId="0" fontId="16" fillId="0" borderId="1" xfId="0" applyNumberFormat="1" applyFont="1" applyFill="1" applyBorder="1" applyAlignment="1" applyProtection="1">
      <alignment horizontal="left" vertical="center" wrapText="1"/>
    </xf>
    <xf numFmtId="0" fontId="20" fillId="0" borderId="0" xfId="0" applyNumberFormat="1" applyFont="1" applyFill="1" applyBorder="1" applyAlignment="1" applyProtection="1">
      <alignment horizontal="center"/>
    </xf>
    <xf numFmtId="0" fontId="14" fillId="0" borderId="0" xfId="0" applyNumberFormat="1" applyFont="1" applyFill="1" applyBorder="1" applyAlignment="1" applyProtection="1">
      <alignment horizontal="center"/>
    </xf>
    <xf numFmtId="0" fontId="17" fillId="0" borderId="1" xfId="0" applyNumberFormat="1" applyFont="1" applyFill="1" applyBorder="1" applyAlignment="1" applyProtection="1">
      <alignment horizontal="left" vertical="center" wrapText="1"/>
    </xf>
    <xf numFmtId="49" fontId="1" fillId="0" borderId="0" xfId="0" applyNumberFormat="1" applyFont="1" applyFill="1" applyBorder="1" applyAlignment="1" applyProtection="1">
      <alignment horizontal="center" vertical="center" wrapText="1"/>
    </xf>
    <xf numFmtId="49" fontId="15" fillId="0" borderId="0" xfId="0" applyNumberFormat="1" applyFont="1" applyFill="1" applyBorder="1" applyAlignment="1" applyProtection="1">
      <alignment horizontal="center" vertical="center" wrapText="1"/>
    </xf>
    <xf numFmtId="0" fontId="11" fillId="0" borderId="0" xfId="0" applyFont="1" applyFill="1" applyAlignment="1">
      <alignment horizontal="right" wrapText="1"/>
    </xf>
    <xf numFmtId="0" fontId="0" fillId="0" borderId="0" xfId="0" applyFill="1" applyAlignment="1">
      <alignment horizontal="right" wrapText="1"/>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wrapText="1"/>
    </xf>
    <xf numFmtId="0" fontId="5" fillId="0" borderId="1" xfId="1" applyFont="1" applyBorder="1" applyAlignment="1">
      <alignment horizontal="left" vertical="center" wrapText="1"/>
    </xf>
    <xf numFmtId="0" fontId="7" fillId="0" borderId="1" xfId="1" applyFont="1" applyBorder="1" applyAlignment="1">
      <alignment horizontal="left" vertical="center" wrapText="1"/>
    </xf>
    <xf numFmtId="0" fontId="7" fillId="0" borderId="1" xfId="0" applyNumberFormat="1" applyFont="1" applyFill="1" applyBorder="1" applyAlignment="1" applyProtection="1">
      <alignment horizontal="left" vertical="center" wrapText="1"/>
    </xf>
    <xf numFmtId="0" fontId="21" fillId="0" borderId="0" xfId="0" applyNumberFormat="1" applyFont="1" applyFill="1" applyBorder="1" applyAlignment="1" applyProtection="1">
      <alignment horizontal="center"/>
    </xf>
    <xf numFmtId="0" fontId="5" fillId="0" borderId="1" xfId="0" applyNumberFormat="1" applyFont="1" applyFill="1" applyBorder="1" applyAlignment="1" applyProtection="1">
      <alignment horizontal="left" vertical="center" wrapText="1"/>
    </xf>
    <xf numFmtId="0" fontId="5" fillId="0" borderId="1" xfId="0" applyFont="1" applyBorder="1" applyAlignment="1">
      <alignment horizontal="left" vertical="center" wrapText="1"/>
    </xf>
  </cellXfs>
  <cellStyles count="3">
    <cellStyle name="Обычный" xfId="0" builtinId="0"/>
    <cellStyle name="Обычный 2" xfId="1"/>
    <cellStyle name="Обычный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67</xdr:row>
          <xdr:rowOff>85725</xdr:rowOff>
        </xdr:from>
        <xdr:to>
          <xdr:col>5</xdr:col>
          <xdr:colOff>1257300</xdr:colOff>
          <xdr:row>76</xdr:row>
          <xdr:rowOff>57150</xdr:rowOff>
        </xdr:to>
        <xdr:sp macro="" textlink="">
          <xdr:nvSpPr>
            <xdr:cNvPr id="11265" name="Object 1" hidden="1">
              <a:extLst>
                <a:ext uri="{63B3BB69-23CF-44E3-9099-C40C66FF867C}">
                  <a14:compatExt spid="_x0000_s11265"/>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20</xdr:row>
          <xdr:rowOff>76200</xdr:rowOff>
        </xdr:from>
        <xdr:to>
          <xdr:col>5</xdr:col>
          <xdr:colOff>2438400</xdr:colOff>
          <xdr:row>30</xdr:row>
          <xdr:rowOff>95250</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130</xdr:row>
          <xdr:rowOff>57150</xdr:rowOff>
        </xdr:from>
        <xdr:to>
          <xdr:col>5</xdr:col>
          <xdr:colOff>2438400</xdr:colOff>
          <xdr:row>141</xdr:row>
          <xdr:rowOff>0</xdr:rowOff>
        </xdr:to>
        <xdr:sp macro="" textlink="">
          <xdr:nvSpPr>
            <xdr:cNvPr id="3073" name="Object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74</xdr:row>
          <xdr:rowOff>123825</xdr:rowOff>
        </xdr:from>
        <xdr:to>
          <xdr:col>5</xdr:col>
          <xdr:colOff>2438400</xdr:colOff>
          <xdr:row>84</xdr:row>
          <xdr:rowOff>95250</xdr:rowOff>
        </xdr:to>
        <xdr:sp macro="" textlink="">
          <xdr:nvSpPr>
            <xdr:cNvPr id="4097" name="Object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342900</xdr:colOff>
          <xdr:row>76</xdr:row>
          <xdr:rowOff>247650</xdr:rowOff>
        </xdr:from>
        <xdr:to>
          <xdr:col>5</xdr:col>
          <xdr:colOff>1971675</xdr:colOff>
          <xdr:row>84</xdr:row>
          <xdr:rowOff>152400</xdr:rowOff>
        </xdr:to>
        <xdr:sp macro="" textlink="">
          <xdr:nvSpPr>
            <xdr:cNvPr id="12290" name="Object 2" hidden="1">
              <a:extLst>
                <a:ext uri="{63B3BB69-23CF-44E3-9099-C40C66FF867C}">
                  <a14:compatExt spid="_x0000_s12290"/>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58</xdr:row>
          <xdr:rowOff>104775</xdr:rowOff>
        </xdr:from>
        <xdr:to>
          <xdr:col>5</xdr:col>
          <xdr:colOff>2438400</xdr:colOff>
          <xdr:row>69</xdr:row>
          <xdr:rowOff>47625</xdr:rowOff>
        </xdr:to>
        <xdr:sp macro="" textlink="">
          <xdr:nvSpPr>
            <xdr:cNvPr id="6145" name="Object 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66675</xdr:colOff>
          <xdr:row>32</xdr:row>
          <xdr:rowOff>180975</xdr:rowOff>
        </xdr:from>
        <xdr:to>
          <xdr:col>5</xdr:col>
          <xdr:colOff>2505075</xdr:colOff>
          <xdr:row>43</xdr:row>
          <xdr:rowOff>85725</xdr:rowOff>
        </xdr:to>
        <xdr:sp macro="" textlink="">
          <xdr:nvSpPr>
            <xdr:cNvPr id="7169" name="Object 1" hidden="1">
              <a:extLst>
                <a:ext uri="{63B3BB69-23CF-44E3-9099-C40C66FF867C}">
                  <a14:compatExt spid="_x0000_s7169"/>
                </a:ext>
              </a:extLst>
            </xdr:cNvPr>
            <xdr:cNvSpPr/>
          </xdr:nvSpPr>
          <xdr:spPr>
            <a:xfrm>
              <a:off x="0" y="0"/>
              <a:ext cx="0" cy="0"/>
            </a:xfrm>
            <a:prstGeom prst="rect">
              <a:avLst/>
            </a:prstGeom>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37</xdr:row>
          <xdr:rowOff>76200</xdr:rowOff>
        </xdr:from>
        <xdr:to>
          <xdr:col>5</xdr:col>
          <xdr:colOff>2438400</xdr:colOff>
          <xdr:row>47</xdr:row>
          <xdr:rowOff>123825</xdr:rowOff>
        </xdr:to>
        <xdr:sp macro="" textlink="">
          <xdr:nvSpPr>
            <xdr:cNvPr id="8193" name="Object 1" hidden="1">
              <a:extLst>
                <a:ext uri="{63B3BB69-23CF-44E3-9099-C40C66FF867C}">
                  <a14:compatExt spid="_x0000_s8193"/>
                </a:ext>
              </a:extLst>
            </xdr:cNvPr>
            <xdr:cNvSpPr/>
          </xdr:nvSpPr>
          <xdr:spPr>
            <a:xfrm>
              <a:off x="0" y="0"/>
              <a:ext cx="0" cy="0"/>
            </a:xfrm>
            <a:prstGeom prst="rect">
              <a:avLst/>
            </a:prstGeom>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30</xdr:row>
          <xdr:rowOff>38100</xdr:rowOff>
        </xdr:from>
        <xdr:to>
          <xdr:col>5</xdr:col>
          <xdr:colOff>2438400</xdr:colOff>
          <xdr:row>40</xdr:row>
          <xdr:rowOff>57150</xdr:rowOff>
        </xdr:to>
        <xdr:sp macro="" textlink="">
          <xdr:nvSpPr>
            <xdr:cNvPr id="9217" name="Object 1" hidden="1">
              <a:extLst>
                <a:ext uri="{63B3BB69-23CF-44E3-9099-C40C66FF867C}">
                  <a14:compatExt spid="_x0000_s9217"/>
                </a:ext>
              </a:extLst>
            </xdr:cNvPr>
            <xdr:cNvSpPr/>
          </xdr:nvSpPr>
          <xdr:spPr>
            <a:xfrm>
              <a:off x="0" y="0"/>
              <a:ext cx="0" cy="0"/>
            </a:xfrm>
            <a:prstGeom prst="rect">
              <a:avLst/>
            </a:prstGeom>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13</xdr:row>
          <xdr:rowOff>38100</xdr:rowOff>
        </xdr:from>
        <xdr:to>
          <xdr:col>5</xdr:col>
          <xdr:colOff>2438400</xdr:colOff>
          <xdr:row>23</xdr:row>
          <xdr:rowOff>123825</xdr:rowOff>
        </xdr:to>
        <xdr:sp macro="" textlink="">
          <xdr:nvSpPr>
            <xdr:cNvPr id="10241" name="Object 1" hidden="1">
              <a:extLst>
                <a:ext uri="{63B3BB69-23CF-44E3-9099-C40C66FF867C}">
                  <a14:compatExt spid="_x0000_s10241"/>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_________Microsoft_Word1.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package" Target="../embeddings/_________Microsoft_Word2.docx"/></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_________Microsoft_Word3.docx"/></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package" Target="../embeddings/_________Microsoft_Word4.docx"/></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4.emf"/><Relationship Id="rId4" Type="http://schemas.openxmlformats.org/officeDocument/2006/relationships/package" Target="../embeddings/_________Microsoft_Word5.doc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package" Target="../embeddings/_________Microsoft_Word6.docx"/></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5.emf"/><Relationship Id="rId4" Type="http://schemas.openxmlformats.org/officeDocument/2006/relationships/package" Target="../embeddings/_________Microsoft_Word7.docx"/></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6.emf"/><Relationship Id="rId4" Type="http://schemas.openxmlformats.org/officeDocument/2006/relationships/package" Target="../embeddings/_________Microsoft_Word8.docx"/></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2.emf"/><Relationship Id="rId4" Type="http://schemas.openxmlformats.org/officeDocument/2006/relationships/package" Target="../embeddings/_________Microsoft_Word9.docx"/></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3.emf"/><Relationship Id="rId4" Type="http://schemas.openxmlformats.org/officeDocument/2006/relationships/package" Target="../embeddings/_________Microsoft_Word10.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6"/>
  <sheetViews>
    <sheetView topLeftCell="A61" workbookViewId="0">
      <selection activeCell="C52" sqref="C52"/>
    </sheetView>
  </sheetViews>
  <sheetFormatPr defaultColWidth="9.140625" defaultRowHeight="11.25" x14ac:dyDescent="0.2"/>
  <cols>
    <col min="1" max="1" width="5.5703125" style="83" customWidth="1"/>
    <col min="2" max="2" width="5.5703125" style="79" customWidth="1"/>
    <col min="3" max="3" width="44.42578125" style="79" customWidth="1"/>
    <col min="4" max="4" width="10.7109375" style="79" customWidth="1"/>
    <col min="5" max="5" width="12.28515625" style="79" customWidth="1"/>
    <col min="6" max="6" width="20" style="79" customWidth="1"/>
    <col min="7" max="7" width="9.140625" style="79"/>
    <col min="8" max="8" width="4.7109375" style="79" hidden="1" customWidth="1"/>
    <col min="9" max="14" width="9.140625" style="79"/>
    <col min="15" max="16" width="135.28515625" style="84" hidden="1" customWidth="1"/>
    <col min="17" max="18" width="55.140625" style="85" hidden="1" customWidth="1"/>
    <col min="19" max="22" width="69" style="86" hidden="1" customWidth="1"/>
    <col min="23" max="24" width="55.140625" style="85" hidden="1" customWidth="1"/>
    <col min="25" max="28" width="69" style="86" hidden="1" customWidth="1"/>
    <col min="29" max="16384" width="9.140625" style="79"/>
  </cols>
  <sheetData>
    <row r="1" spans="1:15" ht="28.5" customHeight="1" x14ac:dyDescent="0.2">
      <c r="D1" s="111" t="s">
        <v>723</v>
      </c>
      <c r="E1" s="112"/>
      <c r="F1" s="112"/>
    </row>
    <row r="3" spans="1:15" customFormat="1" ht="18" x14ac:dyDescent="0.25">
      <c r="A3" s="114" t="s">
        <v>724</v>
      </c>
      <c r="B3" s="115"/>
      <c r="C3" s="115"/>
      <c r="D3" s="115"/>
      <c r="E3" s="115"/>
      <c r="F3" s="115"/>
    </row>
    <row r="4" spans="1:15" customFormat="1" ht="18" x14ac:dyDescent="0.25">
      <c r="A4" s="87"/>
      <c r="B4" s="77"/>
      <c r="C4" s="77"/>
      <c r="D4" s="77"/>
      <c r="E4" s="77"/>
      <c r="F4" s="77"/>
    </row>
    <row r="5" spans="1:15" customFormat="1" ht="24" customHeight="1" x14ac:dyDescent="0.25">
      <c r="A5" s="117" t="s">
        <v>654</v>
      </c>
      <c r="B5" s="118"/>
      <c r="C5" s="118"/>
      <c r="D5" s="118"/>
      <c r="E5" s="118"/>
      <c r="F5" s="118"/>
    </row>
    <row r="6" spans="1:15" customFormat="1" ht="15" x14ac:dyDescent="0.25">
      <c r="A6" s="56"/>
    </row>
    <row r="7" spans="1:15" customFormat="1" ht="22.5" x14ac:dyDescent="0.25">
      <c r="A7" s="57" t="s">
        <v>0</v>
      </c>
      <c r="B7" s="58" t="s">
        <v>1</v>
      </c>
      <c r="C7" s="58" t="s">
        <v>2</v>
      </c>
      <c r="D7" s="58" t="s">
        <v>3</v>
      </c>
      <c r="E7" s="58" t="s">
        <v>4</v>
      </c>
      <c r="F7" s="58" t="s">
        <v>29</v>
      </c>
    </row>
    <row r="8" spans="1:15" customFormat="1" ht="15" x14ac:dyDescent="0.25">
      <c r="A8" s="59">
        <v>1</v>
      </c>
      <c r="B8" s="60">
        <v>2</v>
      </c>
      <c r="C8" s="60">
        <v>3</v>
      </c>
      <c r="D8" s="60">
        <v>4</v>
      </c>
      <c r="E8" s="60">
        <v>5</v>
      </c>
      <c r="F8" s="60">
        <v>6</v>
      </c>
    </row>
    <row r="9" spans="1:15" customFormat="1" ht="15" x14ac:dyDescent="0.25">
      <c r="A9" s="113" t="s">
        <v>377</v>
      </c>
      <c r="B9" s="113"/>
      <c r="C9" s="113"/>
      <c r="D9" s="113"/>
      <c r="E9" s="113"/>
      <c r="F9" s="113"/>
      <c r="O9" s="78" t="s">
        <v>377</v>
      </c>
    </row>
    <row r="10" spans="1:15" customFormat="1" ht="22.5" x14ac:dyDescent="0.25">
      <c r="A10" s="61">
        <f>IF(H10&lt;&gt;"",COUNTA(H$2:H10),"")</f>
        <v>1</v>
      </c>
      <c r="B10" s="62" t="s">
        <v>212</v>
      </c>
      <c r="C10" s="63" t="s">
        <v>388</v>
      </c>
      <c r="D10" s="64" t="s">
        <v>62</v>
      </c>
      <c r="E10" s="38">
        <v>153.87</v>
      </c>
      <c r="F10" s="63"/>
      <c r="H10" s="79" t="s">
        <v>8</v>
      </c>
      <c r="O10" s="78"/>
    </row>
    <row r="11" spans="1:15" customFormat="1" ht="22.5" x14ac:dyDescent="0.25">
      <c r="A11" s="61">
        <f>IF(H11&lt;&gt;"",COUNTA(H$2:H11),"")</f>
        <v>2</v>
      </c>
      <c r="B11" s="62" t="s">
        <v>9</v>
      </c>
      <c r="C11" s="63" t="s">
        <v>389</v>
      </c>
      <c r="D11" s="64" t="s">
        <v>62</v>
      </c>
      <c r="E11" s="38">
        <v>108.49</v>
      </c>
      <c r="F11" s="63"/>
      <c r="H11" s="79" t="s">
        <v>8</v>
      </c>
      <c r="O11" s="78"/>
    </row>
    <row r="12" spans="1:15" customFormat="1" ht="22.5" x14ac:dyDescent="0.25">
      <c r="A12" s="61">
        <f>IF(H12&lt;&gt;"",COUNTA(H$2:H12),"")</f>
        <v>3</v>
      </c>
      <c r="B12" s="62" t="s">
        <v>10</v>
      </c>
      <c r="C12" s="63" t="s">
        <v>390</v>
      </c>
      <c r="D12" s="64" t="s">
        <v>62</v>
      </c>
      <c r="E12" s="38">
        <v>55.3</v>
      </c>
      <c r="F12" s="63"/>
      <c r="H12" s="79" t="s">
        <v>8</v>
      </c>
      <c r="O12" s="78"/>
    </row>
    <row r="13" spans="1:15" customFormat="1" ht="15" x14ac:dyDescent="0.25">
      <c r="A13" s="61">
        <f>IF(H13&lt;&gt;"",COUNTA(H$2:H13),"")</f>
        <v>4</v>
      </c>
      <c r="B13" s="62" t="s">
        <v>216</v>
      </c>
      <c r="C13" s="63" t="s">
        <v>391</v>
      </c>
      <c r="D13" s="64" t="s">
        <v>62</v>
      </c>
      <c r="E13" s="38">
        <v>11.087999999999999</v>
      </c>
      <c r="F13" s="63"/>
      <c r="H13" s="79" t="s">
        <v>8</v>
      </c>
      <c r="O13" s="78"/>
    </row>
    <row r="14" spans="1:15" customFormat="1" ht="22.5" x14ac:dyDescent="0.25">
      <c r="A14" s="61">
        <f>IF(H14&lt;&gt;"",COUNTA(H$2:H14),"")</f>
        <v>5</v>
      </c>
      <c r="B14" s="62" t="s">
        <v>218</v>
      </c>
      <c r="C14" s="63" t="s">
        <v>392</v>
      </c>
      <c r="D14" s="64" t="s">
        <v>62</v>
      </c>
      <c r="E14" s="38">
        <v>2116.64</v>
      </c>
      <c r="F14" s="63"/>
      <c r="H14" s="79" t="s">
        <v>8</v>
      </c>
      <c r="O14" s="78"/>
    </row>
    <row r="15" spans="1:15" customFormat="1" ht="22.5" x14ac:dyDescent="0.25">
      <c r="A15" s="61">
        <f>IF(H15&lt;&gt;"",COUNTA(H$2:H15),"")</f>
        <v>6</v>
      </c>
      <c r="B15" s="62" t="s">
        <v>220</v>
      </c>
      <c r="C15" s="63" t="s">
        <v>393</v>
      </c>
      <c r="D15" s="64" t="s">
        <v>62</v>
      </c>
      <c r="E15" s="38">
        <v>21.6</v>
      </c>
      <c r="F15" s="63"/>
      <c r="H15" s="79" t="s">
        <v>8</v>
      </c>
      <c r="O15" s="78"/>
    </row>
    <row r="16" spans="1:15" customFormat="1" ht="22.5" x14ac:dyDescent="0.25">
      <c r="A16" s="61">
        <f>IF(H16&lt;&gt;"",COUNTA(H$2:H16),"")</f>
        <v>7</v>
      </c>
      <c r="B16" s="62" t="s">
        <v>12</v>
      </c>
      <c r="C16" s="63" t="s">
        <v>394</v>
      </c>
      <c r="D16" s="64" t="s">
        <v>62</v>
      </c>
      <c r="E16" s="38">
        <v>866.8</v>
      </c>
      <c r="F16" s="63"/>
      <c r="H16" s="79" t="s">
        <v>8</v>
      </c>
      <c r="O16" s="78"/>
    </row>
    <row r="17" spans="1:15" customFormat="1" ht="15" x14ac:dyDescent="0.25">
      <c r="A17" s="61">
        <f>IF(H17&lt;&gt;"",COUNTA(H$2:H17),"")</f>
        <v>8</v>
      </c>
      <c r="B17" s="62" t="s">
        <v>13</v>
      </c>
      <c r="C17" s="63" t="s">
        <v>395</v>
      </c>
      <c r="D17" s="64" t="s">
        <v>62</v>
      </c>
      <c r="E17" s="38">
        <v>360.8</v>
      </c>
      <c r="F17" s="63"/>
      <c r="H17" s="79" t="s">
        <v>8</v>
      </c>
      <c r="O17" s="78"/>
    </row>
    <row r="18" spans="1:15" customFormat="1" ht="15" x14ac:dyDescent="0.25">
      <c r="A18" s="61">
        <f>IF(H18&lt;&gt;"",COUNTA(H$2:H18),"")</f>
        <v>9</v>
      </c>
      <c r="B18" s="62" t="s">
        <v>14</v>
      </c>
      <c r="C18" s="63" t="s">
        <v>396</v>
      </c>
      <c r="D18" s="64" t="s">
        <v>62</v>
      </c>
      <c r="E18" s="38">
        <v>666.07</v>
      </c>
      <c r="F18" s="63"/>
      <c r="H18" s="79" t="s">
        <v>8</v>
      </c>
      <c r="O18" s="78"/>
    </row>
    <row r="19" spans="1:15" customFormat="1" ht="15" x14ac:dyDescent="0.25">
      <c r="A19" s="61">
        <f>IF(H19&lt;&gt;"",COUNTA(H$2:H19),"")</f>
        <v>10</v>
      </c>
      <c r="B19" s="62" t="s">
        <v>15</v>
      </c>
      <c r="C19" s="63" t="s">
        <v>397</v>
      </c>
      <c r="D19" s="64" t="s">
        <v>62</v>
      </c>
      <c r="E19" s="38">
        <v>200.73</v>
      </c>
      <c r="F19" s="63"/>
      <c r="H19" s="79" t="s">
        <v>8</v>
      </c>
      <c r="O19" s="78"/>
    </row>
    <row r="20" spans="1:15" customFormat="1" ht="15" x14ac:dyDescent="0.25">
      <c r="A20" s="61">
        <f>IF(H20&lt;&gt;"",COUNTA(H$2:H20),"")</f>
        <v>11</v>
      </c>
      <c r="B20" s="62" t="s">
        <v>225</v>
      </c>
      <c r="C20" s="63" t="s">
        <v>398</v>
      </c>
      <c r="D20" s="64" t="s">
        <v>62</v>
      </c>
      <c r="E20" s="38">
        <v>138.6</v>
      </c>
      <c r="F20" s="63"/>
      <c r="H20" s="79" t="s">
        <v>8</v>
      </c>
      <c r="O20" s="78"/>
    </row>
    <row r="21" spans="1:15" customFormat="1" ht="22.5" x14ac:dyDescent="0.25">
      <c r="A21" s="61">
        <f>IF(H21&lt;&gt;"",COUNTA(H$2:H21),"")</f>
        <v>12</v>
      </c>
      <c r="B21" s="62" t="s">
        <v>342</v>
      </c>
      <c r="C21" s="63" t="s">
        <v>399</v>
      </c>
      <c r="D21" s="64" t="s">
        <v>59</v>
      </c>
      <c r="E21" s="38">
        <v>234.4</v>
      </c>
      <c r="F21" s="63"/>
      <c r="H21" s="79" t="s">
        <v>8</v>
      </c>
      <c r="O21" s="78"/>
    </row>
    <row r="22" spans="1:15" customFormat="1" ht="22.5" x14ac:dyDescent="0.25">
      <c r="A22" s="61">
        <f>IF(H22&lt;&gt;"",COUNTA(H$2:H22),"")</f>
        <v>13</v>
      </c>
      <c r="B22" s="62" t="s">
        <v>16</v>
      </c>
      <c r="C22" s="63" t="s">
        <v>400</v>
      </c>
      <c r="D22" s="64" t="s">
        <v>59</v>
      </c>
      <c r="E22" s="38">
        <v>56.87</v>
      </c>
      <c r="F22" s="63"/>
      <c r="H22" s="79" t="s">
        <v>8</v>
      </c>
      <c r="O22" s="78"/>
    </row>
    <row r="23" spans="1:15" customFormat="1" ht="15" x14ac:dyDescent="0.25">
      <c r="A23" s="61">
        <f>IF(H23&lt;&gt;"",COUNTA(H$2:H23),"")</f>
        <v>14</v>
      </c>
      <c r="B23" s="62" t="s">
        <v>710</v>
      </c>
      <c r="C23" s="63" t="s">
        <v>711</v>
      </c>
      <c r="D23" s="64" t="s">
        <v>62</v>
      </c>
      <c r="E23" s="38">
        <v>148.4</v>
      </c>
      <c r="F23" s="63"/>
      <c r="H23" s="79" t="s">
        <v>8</v>
      </c>
      <c r="O23" s="78"/>
    </row>
    <row r="24" spans="1:15" customFormat="1" ht="22.5" x14ac:dyDescent="0.25">
      <c r="A24" s="61">
        <f>IF(H24&lt;&gt;"",COUNTA(H$2:H24),"")</f>
        <v>15</v>
      </c>
      <c r="B24" s="62" t="s">
        <v>229</v>
      </c>
      <c r="C24" s="63" t="s">
        <v>401</v>
      </c>
      <c r="D24" s="64" t="s">
        <v>62</v>
      </c>
      <c r="E24" s="38">
        <v>141.5</v>
      </c>
      <c r="F24" s="63"/>
      <c r="H24" s="79" t="s">
        <v>8</v>
      </c>
      <c r="O24" s="78"/>
    </row>
    <row r="25" spans="1:15" customFormat="1" ht="22.5" x14ac:dyDescent="0.25">
      <c r="A25" s="61">
        <f>IF(H25&lt;&gt;"",COUNTA(H$2:H25),"")</f>
        <v>16</v>
      </c>
      <c r="B25" s="62" t="s">
        <v>20</v>
      </c>
      <c r="C25" s="63" t="s">
        <v>712</v>
      </c>
      <c r="D25" s="64" t="s">
        <v>59</v>
      </c>
      <c r="E25" s="38">
        <v>146.26</v>
      </c>
      <c r="F25" s="63"/>
      <c r="H25" s="79" t="s">
        <v>8</v>
      </c>
      <c r="O25" s="78"/>
    </row>
    <row r="26" spans="1:15" customFormat="1" ht="15" x14ac:dyDescent="0.25">
      <c r="A26" s="61">
        <f>IF(H26&lt;&gt;"",COUNTA(H$2:H26),"")</f>
        <v>17</v>
      </c>
      <c r="B26" s="62" t="s">
        <v>233</v>
      </c>
      <c r="C26" s="63" t="s">
        <v>402</v>
      </c>
      <c r="D26" s="64" t="s">
        <v>65</v>
      </c>
      <c r="E26" s="65">
        <v>1.7</v>
      </c>
      <c r="F26" s="63"/>
      <c r="H26" s="79" t="s">
        <v>8</v>
      </c>
      <c r="O26" s="78"/>
    </row>
    <row r="27" spans="1:15" customFormat="1" ht="33.75" x14ac:dyDescent="0.25">
      <c r="A27" s="61">
        <f>IF(H27&lt;&gt;"",COUNTA(H$2:H27),"")</f>
        <v>18</v>
      </c>
      <c r="B27" s="62" t="s">
        <v>22</v>
      </c>
      <c r="C27" s="63" t="s">
        <v>403</v>
      </c>
      <c r="D27" s="64" t="s">
        <v>65</v>
      </c>
      <c r="E27" s="65">
        <v>1.2</v>
      </c>
      <c r="F27" s="63"/>
      <c r="H27" s="79" t="s">
        <v>8</v>
      </c>
      <c r="O27" s="78"/>
    </row>
    <row r="28" spans="1:15" customFormat="1" ht="22.5" x14ac:dyDescent="0.25">
      <c r="A28" s="61">
        <f>IF(H28&lt;&gt;"",COUNTA(H$2:H28),"")</f>
        <v>19</v>
      </c>
      <c r="B28" s="62" t="s">
        <v>237</v>
      </c>
      <c r="C28" s="63" t="s">
        <v>404</v>
      </c>
      <c r="D28" s="64" t="s">
        <v>62</v>
      </c>
      <c r="E28" s="66">
        <v>7.16</v>
      </c>
      <c r="F28" s="63"/>
      <c r="H28" s="79" t="s">
        <v>8</v>
      </c>
      <c r="O28" s="78"/>
    </row>
    <row r="29" spans="1:15" customFormat="1" ht="22.5" x14ac:dyDescent="0.25">
      <c r="A29" s="61">
        <f>IF(H29&lt;&gt;"",COUNTA(H$2:H29),"")</f>
        <v>20</v>
      </c>
      <c r="B29" s="62" t="s">
        <v>239</v>
      </c>
      <c r="C29" s="63" t="s">
        <v>405</v>
      </c>
      <c r="D29" s="64" t="s">
        <v>59</v>
      </c>
      <c r="E29" s="66">
        <v>100.32</v>
      </c>
      <c r="F29" s="63"/>
      <c r="H29" s="79" t="s">
        <v>8</v>
      </c>
      <c r="O29" s="78"/>
    </row>
    <row r="30" spans="1:15" customFormat="1" ht="22.5" x14ac:dyDescent="0.25">
      <c r="A30" s="61">
        <f>IF(H30&lt;&gt;"",COUNTA(H$2:H30),"")</f>
        <v>21</v>
      </c>
      <c r="B30" s="62" t="s">
        <v>23</v>
      </c>
      <c r="C30" s="63" t="s">
        <v>406</v>
      </c>
      <c r="D30" s="64" t="s">
        <v>62</v>
      </c>
      <c r="E30" s="66">
        <v>8.9600000000000009</v>
      </c>
      <c r="F30" s="63"/>
      <c r="H30" s="79" t="s">
        <v>8</v>
      </c>
      <c r="O30" s="78"/>
    </row>
    <row r="31" spans="1:15" customFormat="1" ht="15" x14ac:dyDescent="0.25">
      <c r="A31" s="61">
        <f>IF(H31&lt;&gt;"",COUNTA(H$2:H31),"")</f>
        <v>22</v>
      </c>
      <c r="B31" s="62" t="s">
        <v>240</v>
      </c>
      <c r="C31" s="63" t="s">
        <v>407</v>
      </c>
      <c r="D31" s="64" t="s">
        <v>60</v>
      </c>
      <c r="E31" s="67">
        <v>6.8000000000000005E-2</v>
      </c>
      <c r="F31" s="63"/>
      <c r="H31" s="79" t="s">
        <v>8</v>
      </c>
      <c r="O31" s="78"/>
    </row>
    <row r="32" spans="1:15" customFormat="1" ht="22.5" x14ac:dyDescent="0.25">
      <c r="A32" s="61">
        <f>IF(H32&lt;&gt;"",COUNTA(H$2:H32),"")</f>
        <v>23</v>
      </c>
      <c r="B32" s="62" t="s">
        <v>24</v>
      </c>
      <c r="C32" s="63" t="s">
        <v>408</v>
      </c>
      <c r="D32" s="64" t="s">
        <v>62</v>
      </c>
      <c r="E32" s="66">
        <v>34.08</v>
      </c>
      <c r="F32" s="63"/>
      <c r="H32" s="79" t="s">
        <v>8</v>
      </c>
      <c r="O32" s="78"/>
    </row>
    <row r="33" spans="1:16" customFormat="1" ht="33.75" x14ac:dyDescent="0.25">
      <c r="A33" s="61">
        <f>IF(H33&lt;&gt;"",COUNTA(H$2:H33),"")</f>
        <v>24</v>
      </c>
      <c r="B33" s="62" t="s">
        <v>241</v>
      </c>
      <c r="C33" s="63" t="s">
        <v>713</v>
      </c>
      <c r="D33" s="64" t="s">
        <v>62</v>
      </c>
      <c r="E33" s="65">
        <v>193.9</v>
      </c>
      <c r="F33" s="63"/>
      <c r="H33" s="79" t="s">
        <v>8</v>
      </c>
      <c r="O33" s="78"/>
    </row>
    <row r="34" spans="1:16" customFormat="1" ht="15" x14ac:dyDescent="0.25">
      <c r="A34" s="116" t="s">
        <v>409</v>
      </c>
      <c r="B34" s="116"/>
      <c r="C34" s="116"/>
      <c r="D34" s="116"/>
      <c r="E34" s="116"/>
      <c r="F34" s="116"/>
      <c r="O34" s="78"/>
      <c r="P34" s="80" t="s">
        <v>409</v>
      </c>
    </row>
    <row r="35" spans="1:16" customFormat="1" ht="15" x14ac:dyDescent="0.25">
      <c r="A35" s="68">
        <f>IF(H35&lt;&gt;"",COUNTA(H$2:H35),"")</f>
        <v>25</v>
      </c>
      <c r="B35" s="69" t="s">
        <v>27</v>
      </c>
      <c r="C35" s="70" t="s">
        <v>410</v>
      </c>
      <c r="D35" s="71" t="s">
        <v>59</v>
      </c>
      <c r="E35" s="72">
        <v>1417.51</v>
      </c>
      <c r="F35" s="70"/>
      <c r="H35" s="79" t="s">
        <v>8</v>
      </c>
      <c r="O35" s="78"/>
      <c r="P35" s="80"/>
    </row>
    <row r="36" spans="1:16" customFormat="1" ht="15" x14ac:dyDescent="0.25">
      <c r="A36" s="68">
        <f>IF(H36&lt;&gt;"",COUNTA(H$2:H36),"")</f>
        <v>26</v>
      </c>
      <c r="B36" s="69" t="s">
        <v>691</v>
      </c>
      <c r="C36" s="70" t="s">
        <v>714</v>
      </c>
      <c r="D36" s="71" t="s">
        <v>7</v>
      </c>
      <c r="E36" s="73">
        <v>269</v>
      </c>
      <c r="F36" s="70"/>
      <c r="H36" s="79" t="s">
        <v>8</v>
      </c>
      <c r="O36" s="78"/>
      <c r="P36" s="80"/>
    </row>
    <row r="37" spans="1:16" customFormat="1" ht="33.75" x14ac:dyDescent="0.25">
      <c r="A37" s="61">
        <f>IF(H37&lt;&gt;"",COUNTA(H$2:H37),"")</f>
        <v>27</v>
      </c>
      <c r="B37" s="62" t="s">
        <v>243</v>
      </c>
      <c r="C37" s="63" t="s">
        <v>411</v>
      </c>
      <c r="D37" s="64" t="s">
        <v>7</v>
      </c>
      <c r="E37" s="74">
        <v>191</v>
      </c>
      <c r="F37" s="63"/>
      <c r="H37" s="79" t="s">
        <v>8</v>
      </c>
      <c r="O37" s="78"/>
      <c r="P37" s="80"/>
    </row>
    <row r="38" spans="1:16" customFormat="1" ht="15" x14ac:dyDescent="0.25">
      <c r="A38" s="68">
        <f>IF(H38&lt;&gt;"",COUNTA(H$2:H38),"")</f>
        <v>28</v>
      </c>
      <c r="B38" s="69" t="s">
        <v>244</v>
      </c>
      <c r="C38" s="70" t="s">
        <v>715</v>
      </c>
      <c r="D38" s="71" t="s">
        <v>7</v>
      </c>
      <c r="E38" s="73">
        <v>274</v>
      </c>
      <c r="F38" s="70"/>
      <c r="H38" s="79" t="s">
        <v>8</v>
      </c>
      <c r="O38" s="78"/>
      <c r="P38" s="80"/>
    </row>
    <row r="39" spans="1:16" customFormat="1" ht="22.5" x14ac:dyDescent="0.25">
      <c r="A39" s="68">
        <f>IF(H39&lt;&gt;"",COUNTA(H$2:H39),"")</f>
        <v>29</v>
      </c>
      <c r="B39" s="69" t="s">
        <v>716</v>
      </c>
      <c r="C39" s="70" t="s">
        <v>717</v>
      </c>
      <c r="D39" s="71" t="s">
        <v>7</v>
      </c>
      <c r="E39" s="73">
        <v>22</v>
      </c>
      <c r="F39" s="70"/>
      <c r="H39" s="79" t="s">
        <v>8</v>
      </c>
      <c r="O39" s="78"/>
      <c r="P39" s="80"/>
    </row>
    <row r="40" spans="1:16" customFormat="1" ht="15" x14ac:dyDescent="0.25">
      <c r="A40" s="68">
        <f>IF(H40&lt;&gt;"",COUNTA(H$2:H40),"")</f>
        <v>30</v>
      </c>
      <c r="B40" s="69" t="s">
        <v>718</v>
      </c>
      <c r="C40" s="70" t="s">
        <v>719</v>
      </c>
      <c r="D40" s="71" t="s">
        <v>7</v>
      </c>
      <c r="E40" s="73">
        <v>2</v>
      </c>
      <c r="F40" s="70"/>
      <c r="H40" s="79" t="s">
        <v>8</v>
      </c>
      <c r="O40" s="78"/>
      <c r="P40" s="80"/>
    </row>
    <row r="41" spans="1:16" customFormat="1" ht="22.5" x14ac:dyDescent="0.25">
      <c r="A41" s="61">
        <f>IF(H41&lt;&gt;"",COUNTA(H$2:H41),"")</f>
        <v>31</v>
      </c>
      <c r="B41" s="62" t="s">
        <v>245</v>
      </c>
      <c r="C41" s="63" t="s">
        <v>412</v>
      </c>
      <c r="D41" s="64" t="s">
        <v>7</v>
      </c>
      <c r="E41" s="74">
        <v>14</v>
      </c>
      <c r="F41" s="63"/>
      <c r="H41" s="79" t="s">
        <v>8</v>
      </c>
      <c r="O41" s="78"/>
      <c r="P41" s="80"/>
    </row>
    <row r="42" spans="1:16" customFormat="1" ht="22.5" x14ac:dyDescent="0.25">
      <c r="A42" s="61">
        <f>IF(H42&lt;&gt;"",COUNTA(H$2:H42),"")</f>
        <v>32</v>
      </c>
      <c r="B42" s="62" t="s">
        <v>246</v>
      </c>
      <c r="C42" s="63" t="s">
        <v>720</v>
      </c>
      <c r="D42" s="64" t="s">
        <v>7</v>
      </c>
      <c r="E42" s="74">
        <v>6</v>
      </c>
      <c r="F42" s="63"/>
      <c r="H42" s="79" t="s">
        <v>8</v>
      </c>
      <c r="O42" s="78"/>
      <c r="P42" s="80"/>
    </row>
    <row r="43" spans="1:16" customFormat="1" ht="22.5" x14ac:dyDescent="0.25">
      <c r="A43" s="61">
        <f>IF(H43&lt;&gt;"",COUNTA(H$2:H43),"")</f>
        <v>33</v>
      </c>
      <c r="B43" s="62" t="s">
        <v>248</v>
      </c>
      <c r="C43" s="63" t="s">
        <v>413</v>
      </c>
      <c r="D43" s="64" t="s">
        <v>7</v>
      </c>
      <c r="E43" s="74">
        <v>8</v>
      </c>
      <c r="F43" s="63"/>
      <c r="H43" s="79" t="s">
        <v>8</v>
      </c>
      <c r="O43" s="78"/>
      <c r="P43" s="80"/>
    </row>
    <row r="44" spans="1:16" customFormat="1" ht="15" x14ac:dyDescent="0.25">
      <c r="A44" s="116" t="s">
        <v>414</v>
      </c>
      <c r="B44" s="116"/>
      <c r="C44" s="116"/>
      <c r="D44" s="116"/>
      <c r="E44" s="116"/>
      <c r="F44" s="116"/>
      <c r="O44" s="78"/>
      <c r="P44" s="80" t="s">
        <v>414</v>
      </c>
    </row>
    <row r="45" spans="1:16" customFormat="1" ht="22.5" x14ac:dyDescent="0.25">
      <c r="A45" s="61">
        <f>IF(H45&lt;&gt;"",COUNTA(H$2:H45),"")</f>
        <v>34</v>
      </c>
      <c r="B45" s="62" t="s">
        <v>250</v>
      </c>
      <c r="C45" s="63" t="s">
        <v>415</v>
      </c>
      <c r="D45" s="64" t="s">
        <v>59</v>
      </c>
      <c r="E45" s="66">
        <v>674.59</v>
      </c>
      <c r="F45" s="63"/>
      <c r="H45" s="79" t="s">
        <v>8</v>
      </c>
      <c r="O45" s="78"/>
      <c r="P45" s="80"/>
    </row>
    <row r="46" spans="1:16" customFormat="1" ht="22.5" x14ac:dyDescent="0.25">
      <c r="A46" s="61">
        <f>IF(H46&lt;&gt;"",COUNTA(H$2:H46),"")</f>
        <v>35</v>
      </c>
      <c r="B46" s="62" t="s">
        <v>251</v>
      </c>
      <c r="C46" s="63" t="s">
        <v>416</v>
      </c>
      <c r="D46" s="64" t="s">
        <v>59</v>
      </c>
      <c r="E46" s="74">
        <v>149</v>
      </c>
      <c r="F46" s="63"/>
      <c r="H46" s="79" t="s">
        <v>8</v>
      </c>
      <c r="O46" s="78"/>
      <c r="P46" s="80"/>
    </row>
    <row r="47" spans="1:16" customFormat="1" ht="22.5" x14ac:dyDescent="0.25">
      <c r="A47" s="61">
        <f>IF(H47&lt;&gt;"",COUNTA(H$2:H47),"")</f>
        <v>36</v>
      </c>
      <c r="B47" s="62" t="s">
        <v>252</v>
      </c>
      <c r="C47" s="63" t="s">
        <v>417</v>
      </c>
      <c r="D47" s="64" t="s">
        <v>59</v>
      </c>
      <c r="E47" s="65">
        <v>4.0999999999999996</v>
      </c>
      <c r="F47" s="63"/>
      <c r="H47" s="79" t="s">
        <v>8</v>
      </c>
      <c r="O47" s="78"/>
      <c r="P47" s="80"/>
    </row>
    <row r="48" spans="1:16" customFormat="1" ht="22.5" x14ac:dyDescent="0.25">
      <c r="A48" s="61">
        <f>IF(H48&lt;&gt;"",COUNTA(H$2:H48),"")</f>
        <v>37</v>
      </c>
      <c r="B48" s="62" t="s">
        <v>67</v>
      </c>
      <c r="C48" s="63" t="s">
        <v>418</v>
      </c>
      <c r="D48" s="64" t="s">
        <v>59</v>
      </c>
      <c r="E48" s="38">
        <v>133.24</v>
      </c>
      <c r="F48" s="63"/>
      <c r="H48" s="79" t="s">
        <v>8</v>
      </c>
      <c r="O48" s="78"/>
      <c r="P48" s="80"/>
    </row>
    <row r="49" spans="1:16" customFormat="1" ht="22.5" x14ac:dyDescent="0.25">
      <c r="A49" s="61">
        <f>IF(H49&lt;&gt;"",COUNTA(H$2:H49),"")</f>
        <v>38</v>
      </c>
      <c r="B49" s="62" t="s">
        <v>69</v>
      </c>
      <c r="C49" s="63" t="s">
        <v>419</v>
      </c>
      <c r="D49" s="64" t="s">
        <v>59</v>
      </c>
      <c r="E49" s="38">
        <v>25.02</v>
      </c>
      <c r="F49" s="63"/>
      <c r="H49" s="79" t="s">
        <v>8</v>
      </c>
      <c r="O49" s="78"/>
      <c r="P49" s="80"/>
    </row>
    <row r="50" spans="1:16" customFormat="1" ht="33.75" x14ac:dyDescent="0.25">
      <c r="A50" s="61">
        <f>IF(H50&lt;&gt;"",COUNTA(H$2:H50),"")</f>
        <v>39</v>
      </c>
      <c r="B50" s="62" t="s">
        <v>253</v>
      </c>
      <c r="C50" s="63" t="s">
        <v>721</v>
      </c>
      <c r="D50" s="64" t="s">
        <v>59</v>
      </c>
      <c r="E50" s="38">
        <v>80.5</v>
      </c>
      <c r="F50" s="63"/>
      <c r="H50" s="79" t="s">
        <v>8</v>
      </c>
      <c r="O50" s="78"/>
      <c r="P50" s="80"/>
    </row>
    <row r="51" spans="1:16" customFormat="1" ht="22.5" x14ac:dyDescent="0.25">
      <c r="A51" s="61">
        <f>IF(H51&lt;&gt;"",COUNTA(H$2:H51),"")</f>
        <v>40</v>
      </c>
      <c r="B51" s="62" t="s">
        <v>255</v>
      </c>
      <c r="C51" s="63" t="s">
        <v>420</v>
      </c>
      <c r="D51" s="64" t="s">
        <v>59</v>
      </c>
      <c r="E51" s="38">
        <v>18.600000000000001</v>
      </c>
      <c r="F51" s="63"/>
      <c r="H51" s="79" t="s">
        <v>8</v>
      </c>
      <c r="O51" s="78"/>
      <c r="P51" s="80"/>
    </row>
    <row r="52" spans="1:16" customFormat="1" ht="22.5" x14ac:dyDescent="0.25">
      <c r="A52" s="61">
        <f>IF(H52&lt;&gt;"",COUNTA(H$2:H52),"")</f>
        <v>41</v>
      </c>
      <c r="B52" s="62" t="s">
        <v>73</v>
      </c>
      <c r="C52" s="63" t="s">
        <v>421</v>
      </c>
      <c r="D52" s="64" t="s">
        <v>59</v>
      </c>
      <c r="E52" s="38">
        <v>3.6</v>
      </c>
      <c r="F52" s="63"/>
      <c r="H52" s="79" t="s">
        <v>8</v>
      </c>
      <c r="O52" s="78"/>
      <c r="P52" s="80"/>
    </row>
    <row r="53" spans="1:16" customFormat="1" ht="33.75" x14ac:dyDescent="0.25">
      <c r="A53" s="61">
        <f>IF(H53&lt;&gt;"",COUNTA(H$2:H53),"")</f>
        <v>42</v>
      </c>
      <c r="B53" s="62" t="s">
        <v>75</v>
      </c>
      <c r="C53" s="63" t="s">
        <v>422</v>
      </c>
      <c r="D53" s="64" t="s">
        <v>59</v>
      </c>
      <c r="E53" s="38">
        <v>2</v>
      </c>
      <c r="F53" s="63"/>
      <c r="H53" s="79" t="s">
        <v>8</v>
      </c>
      <c r="O53" s="78"/>
      <c r="P53" s="80"/>
    </row>
    <row r="54" spans="1:16" customFormat="1" ht="22.5" x14ac:dyDescent="0.25">
      <c r="A54" s="61">
        <f>IF(H54&lt;&gt;"",COUNTA(H$2:H54),"")</f>
        <v>43</v>
      </c>
      <c r="B54" s="62" t="s">
        <v>77</v>
      </c>
      <c r="C54" s="63" t="s">
        <v>423</v>
      </c>
      <c r="D54" s="64" t="s">
        <v>59</v>
      </c>
      <c r="E54" s="38">
        <v>25</v>
      </c>
      <c r="F54" s="63"/>
      <c r="H54" s="79" t="s">
        <v>8</v>
      </c>
      <c r="O54" s="78"/>
      <c r="P54" s="80"/>
    </row>
    <row r="55" spans="1:16" customFormat="1" ht="15" x14ac:dyDescent="0.25">
      <c r="A55" s="61">
        <f>IF(H55&lt;&gt;"",COUNTA(H$2:H55),"")</f>
        <v>44</v>
      </c>
      <c r="B55" s="62" t="s">
        <v>256</v>
      </c>
      <c r="C55" s="63" t="s">
        <v>424</v>
      </c>
      <c r="D55" s="64" t="s">
        <v>7</v>
      </c>
      <c r="E55" s="38">
        <v>118</v>
      </c>
      <c r="F55" s="63"/>
      <c r="H55" s="79" t="s">
        <v>8</v>
      </c>
      <c r="O55" s="78"/>
      <c r="P55" s="80"/>
    </row>
    <row r="56" spans="1:16" customFormat="1" ht="15" x14ac:dyDescent="0.25">
      <c r="A56" s="61">
        <f>IF(H56&lt;&gt;"",COUNTA(H$2:H56),"")</f>
        <v>45</v>
      </c>
      <c r="B56" s="62" t="s">
        <v>257</v>
      </c>
      <c r="C56" s="63" t="s">
        <v>425</v>
      </c>
      <c r="D56" s="64" t="s">
        <v>7</v>
      </c>
      <c r="E56" s="38">
        <v>19</v>
      </c>
      <c r="F56" s="63"/>
      <c r="H56" s="79" t="s">
        <v>8</v>
      </c>
      <c r="O56" s="78"/>
      <c r="P56" s="80"/>
    </row>
    <row r="57" spans="1:16" customFormat="1" ht="15" x14ac:dyDescent="0.25">
      <c r="A57" s="61">
        <f>IF(H57&lt;&gt;"",COUNTA(H$2:H57),"")</f>
        <v>46</v>
      </c>
      <c r="B57" s="62" t="s">
        <v>258</v>
      </c>
      <c r="C57" s="63" t="s">
        <v>426</v>
      </c>
      <c r="D57" s="64" t="s">
        <v>7</v>
      </c>
      <c r="E57" s="38">
        <v>9</v>
      </c>
      <c r="F57" s="63"/>
      <c r="H57" s="79" t="s">
        <v>8</v>
      </c>
      <c r="O57" s="78"/>
      <c r="P57" s="80"/>
    </row>
    <row r="58" spans="1:16" customFormat="1" ht="15" x14ac:dyDescent="0.25">
      <c r="A58" s="61">
        <f>IF(H58&lt;&gt;"",COUNTA(H$2:H58),"")</f>
        <v>47</v>
      </c>
      <c r="B58" s="62" t="s">
        <v>259</v>
      </c>
      <c r="C58" s="63" t="s">
        <v>427</v>
      </c>
      <c r="D58" s="64" t="s">
        <v>7</v>
      </c>
      <c r="E58" s="38">
        <v>1</v>
      </c>
      <c r="F58" s="63"/>
      <c r="H58" s="79" t="s">
        <v>8</v>
      </c>
      <c r="O58" s="78"/>
      <c r="P58" s="80"/>
    </row>
    <row r="59" spans="1:16" customFormat="1" ht="22.5" x14ac:dyDescent="0.25">
      <c r="A59" s="61">
        <f>IF(H59&lt;&gt;"",COUNTA(H$2:H59),"")</f>
        <v>48</v>
      </c>
      <c r="B59" s="62" t="s">
        <v>260</v>
      </c>
      <c r="C59" s="63" t="s">
        <v>428</v>
      </c>
      <c r="D59" s="64" t="s">
        <v>7</v>
      </c>
      <c r="E59" s="40">
        <v>1</v>
      </c>
      <c r="F59" s="63"/>
      <c r="H59" s="79" t="s">
        <v>8</v>
      </c>
      <c r="O59" s="78"/>
      <c r="P59" s="80"/>
    </row>
    <row r="60" spans="1:16" customFormat="1" ht="22.5" x14ac:dyDescent="0.25">
      <c r="A60" s="61">
        <f>IF(H60&lt;&gt;"",COUNTA(H$2:H60),"")</f>
        <v>49</v>
      </c>
      <c r="B60" s="62" t="s">
        <v>261</v>
      </c>
      <c r="C60" s="63" t="s">
        <v>392</v>
      </c>
      <c r="D60" s="64" t="s">
        <v>62</v>
      </c>
      <c r="E60" s="38">
        <v>86</v>
      </c>
      <c r="F60" s="63"/>
      <c r="H60" s="79" t="s">
        <v>8</v>
      </c>
      <c r="O60" s="78"/>
      <c r="P60" s="80"/>
    </row>
    <row r="61" spans="1:16" customFormat="1" ht="22.5" x14ac:dyDescent="0.25">
      <c r="A61" s="61">
        <f>IF(H61&lt;&gt;"",COUNTA(H$2:H61),"")</f>
        <v>50</v>
      </c>
      <c r="B61" s="62" t="s">
        <v>262</v>
      </c>
      <c r="C61" s="63" t="s">
        <v>429</v>
      </c>
      <c r="D61" s="64" t="s">
        <v>65</v>
      </c>
      <c r="E61" s="38">
        <v>5.5</v>
      </c>
      <c r="F61" s="63"/>
      <c r="H61" s="79" t="s">
        <v>8</v>
      </c>
      <c r="O61" s="78"/>
      <c r="P61" s="80"/>
    </row>
    <row r="62" spans="1:16" customFormat="1" ht="15" x14ac:dyDescent="0.25">
      <c r="A62" s="68">
        <f>IF(H62&lt;&gt;"",COUNTA(H$2:H62),"")</f>
        <v>51</v>
      </c>
      <c r="B62" s="69" t="s">
        <v>263</v>
      </c>
      <c r="C62" s="70" t="s">
        <v>722</v>
      </c>
      <c r="D62" s="71" t="s">
        <v>59</v>
      </c>
      <c r="E62" s="75">
        <v>16950</v>
      </c>
      <c r="F62" s="70"/>
      <c r="H62" s="79" t="s">
        <v>8</v>
      </c>
      <c r="O62" s="78"/>
      <c r="P62" s="80"/>
    </row>
    <row r="63" spans="1:16" customFormat="1" ht="15" x14ac:dyDescent="0.25">
      <c r="A63" s="113" t="s">
        <v>385</v>
      </c>
      <c r="B63" s="113"/>
      <c r="C63" s="113"/>
      <c r="D63" s="113"/>
      <c r="E63" s="113"/>
      <c r="F63" s="113"/>
      <c r="O63" s="78" t="s">
        <v>385</v>
      </c>
      <c r="P63" s="80"/>
    </row>
    <row r="64" spans="1:16" customFormat="1" ht="33.75" x14ac:dyDescent="0.25">
      <c r="A64" s="68">
        <f>IF(H64&lt;&gt;"",COUNTA(H$2:H64),"")</f>
        <v>52</v>
      </c>
      <c r="B64" s="69" t="s">
        <v>264</v>
      </c>
      <c r="C64" s="70" t="s">
        <v>430</v>
      </c>
      <c r="D64" s="71" t="s">
        <v>431</v>
      </c>
      <c r="E64" s="76">
        <v>414.88899320000002</v>
      </c>
      <c r="F64" s="70"/>
      <c r="H64" s="79" t="s">
        <v>8</v>
      </c>
      <c r="O64" s="78"/>
      <c r="P64" s="80"/>
    </row>
    <row r="65" spans="1:16" customFormat="1" ht="33.75" x14ac:dyDescent="0.25">
      <c r="A65" s="68">
        <f>IF(H65&lt;&gt;"",COUNTA(H$2:H65),"")</f>
        <v>53</v>
      </c>
      <c r="B65" s="69" t="s">
        <v>265</v>
      </c>
      <c r="C65" s="70" t="s">
        <v>432</v>
      </c>
      <c r="D65" s="71" t="s">
        <v>431</v>
      </c>
      <c r="E65" s="76">
        <v>414.88899320000002</v>
      </c>
      <c r="F65" s="70"/>
      <c r="H65" s="79" t="s">
        <v>8</v>
      </c>
      <c r="O65" s="78"/>
      <c r="P65" s="80"/>
    </row>
    <row r="66" spans="1:16" customFormat="1" ht="33.75" x14ac:dyDescent="0.25">
      <c r="A66" s="68">
        <f>IF(H66&lt;&gt;"",COUNTA(H$2:H66),"")</f>
        <v>54</v>
      </c>
      <c r="B66" s="69" t="s">
        <v>266</v>
      </c>
      <c r="C66" s="70" t="s">
        <v>433</v>
      </c>
      <c r="D66" s="71" t="s">
        <v>431</v>
      </c>
      <c r="E66" s="76">
        <v>414.88899320000002</v>
      </c>
      <c r="F66" s="70"/>
      <c r="H66" s="79" t="s">
        <v>8</v>
      </c>
      <c r="O66" s="78"/>
      <c r="P66" s="80"/>
    </row>
    <row r="67" spans="1:16" customFormat="1" ht="15" x14ac:dyDescent="0.25"/>
    <row r="69" spans="1:16" customFormat="1" ht="15" x14ac:dyDescent="0.25">
      <c r="B69" s="81"/>
      <c r="D69" s="81"/>
      <c r="F69" s="81"/>
    </row>
    <row r="74" spans="1:16" customFormat="1" ht="15" x14ac:dyDescent="0.25">
      <c r="C74" s="82"/>
    </row>
    <row r="75" spans="1:16" customFormat="1" ht="15" x14ac:dyDescent="0.25">
      <c r="C75" s="82"/>
    </row>
    <row r="76" spans="1:16" customFormat="1" ht="15" x14ac:dyDescent="0.25">
      <c r="C76" s="82"/>
    </row>
  </sheetData>
  <mergeCells count="7">
    <mergeCell ref="D1:F1"/>
    <mergeCell ref="A63:F63"/>
    <mergeCell ref="A3:F3"/>
    <mergeCell ref="A9:F9"/>
    <mergeCell ref="A34:F34"/>
    <mergeCell ref="A5:F5"/>
    <mergeCell ref="A44:F44"/>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d.Document.12" shapeId="11265" r:id="rId4">
          <objectPr defaultSize="0" autoPict="0" r:id="rId5">
            <anchor moveWithCells="1" sizeWithCells="1">
              <from>
                <xdr:col>0</xdr:col>
                <xdr:colOff>0</xdr:colOff>
                <xdr:row>67</xdr:row>
                <xdr:rowOff>85725</xdr:rowOff>
              </from>
              <to>
                <xdr:col>5</xdr:col>
                <xdr:colOff>1257300</xdr:colOff>
                <xdr:row>76</xdr:row>
                <xdr:rowOff>57150</xdr:rowOff>
              </to>
            </anchor>
          </objectPr>
        </oleObject>
      </mc:Choice>
      <mc:Fallback>
        <oleObject progId="Word.Document.12" shapeId="1126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pageSetUpPr fitToPage="1"/>
  </sheetPr>
  <dimension ref="A1:AD18"/>
  <sheetViews>
    <sheetView view="pageBreakPreview" topLeftCell="A4" zoomScale="89" zoomScaleNormal="154" zoomScaleSheetLayoutView="89" workbookViewId="0">
      <selection activeCell="F13" sqref="F13"/>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7.4257812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8" width="107.85546875" style="45" hidden="1" customWidth="1"/>
    <col min="19" max="21" width="49.42578125" style="46" hidden="1" customWidth="1"/>
    <col min="22" max="24" width="47" style="49" hidden="1" customWidth="1"/>
    <col min="25" max="27" width="49.42578125" style="46" hidden="1" customWidth="1"/>
    <col min="28" max="30" width="47" style="49" hidden="1" customWidth="1"/>
    <col min="31" max="16384" width="9.140625" style="44"/>
  </cols>
  <sheetData>
    <row r="1" spans="1:18" ht="29.25" customHeight="1" x14ac:dyDescent="0.25">
      <c r="A1" s="54"/>
      <c r="B1" s="54"/>
      <c r="C1" s="54"/>
      <c r="D1" s="54"/>
      <c r="E1" s="119" t="s">
        <v>725</v>
      </c>
      <c r="F1" s="120"/>
    </row>
    <row r="2" spans="1:18" ht="11.25" customHeight="1" x14ac:dyDescent="0.2">
      <c r="A2" s="55"/>
      <c r="B2" s="55"/>
      <c r="C2" s="55"/>
      <c r="D2" s="55"/>
      <c r="E2" s="55"/>
      <c r="F2" s="55"/>
    </row>
    <row r="3" spans="1:18" ht="11.25" customHeight="1" x14ac:dyDescent="0.25">
      <c r="A3" s="121" t="s">
        <v>655</v>
      </c>
      <c r="B3" s="122"/>
      <c r="C3" s="122"/>
      <c r="D3" s="122"/>
      <c r="E3" s="122"/>
      <c r="F3" s="122"/>
    </row>
    <row r="4" spans="1:18" ht="34.5" customHeight="1" x14ac:dyDescent="0.2">
      <c r="A4" s="123" t="s">
        <v>654</v>
      </c>
      <c r="B4" s="123"/>
      <c r="C4" s="123"/>
      <c r="D4" s="123"/>
      <c r="E4" s="123"/>
      <c r="F4" s="123"/>
    </row>
    <row r="5" spans="1:18" s="24" customFormat="1" ht="9.75" customHeight="1" x14ac:dyDescent="0.25">
      <c r="A5" s="29"/>
      <c r="B5" s="30"/>
      <c r="C5" s="30"/>
      <c r="D5" s="30"/>
      <c r="E5" s="30"/>
      <c r="F5" s="30"/>
    </row>
    <row r="6" spans="1:18" s="24" customFormat="1" ht="36" customHeight="1" x14ac:dyDescent="0.25">
      <c r="A6" s="31" t="s">
        <v>0</v>
      </c>
      <c r="B6" s="32" t="s">
        <v>1</v>
      </c>
      <c r="C6" s="32" t="s">
        <v>2</v>
      </c>
      <c r="D6" s="32" t="s">
        <v>3</v>
      </c>
      <c r="E6" s="32" t="s">
        <v>4</v>
      </c>
      <c r="F6" s="32" t="s">
        <v>29</v>
      </c>
    </row>
    <row r="7" spans="1:18" s="24" customFormat="1" ht="15" x14ac:dyDescent="0.25">
      <c r="A7" s="33">
        <v>1</v>
      </c>
      <c r="B7" s="34">
        <v>2</v>
      </c>
      <c r="C7" s="34">
        <v>3</v>
      </c>
      <c r="D7" s="34">
        <v>4</v>
      </c>
      <c r="E7" s="34">
        <v>5</v>
      </c>
      <c r="F7" s="34">
        <v>6</v>
      </c>
    </row>
    <row r="8" spans="1:18" s="24" customFormat="1" ht="15" x14ac:dyDescent="0.25">
      <c r="A8" s="124" t="s">
        <v>377</v>
      </c>
      <c r="B8" s="124"/>
      <c r="C8" s="124"/>
      <c r="D8" s="124"/>
      <c r="E8" s="124"/>
      <c r="F8" s="124"/>
      <c r="R8" s="47" t="s">
        <v>377</v>
      </c>
    </row>
    <row r="9" spans="1:18" s="24" customFormat="1" ht="33.75" x14ac:dyDescent="0.25">
      <c r="A9" s="35">
        <f>IF(H9&lt;&gt;"",COUNTA(H$1:H9),"")</f>
        <v>1</v>
      </c>
      <c r="B9" s="36" t="s">
        <v>212</v>
      </c>
      <c r="C9" s="21" t="s">
        <v>378</v>
      </c>
      <c r="D9" s="37" t="s">
        <v>62</v>
      </c>
      <c r="E9" s="38">
        <v>940</v>
      </c>
      <c r="F9" s="21"/>
      <c r="H9" s="44" t="s">
        <v>8</v>
      </c>
      <c r="R9" s="47"/>
    </row>
    <row r="10" spans="1:18" s="24" customFormat="1" ht="22.5" x14ac:dyDescent="0.25">
      <c r="A10" s="35">
        <f>IF(H10&lt;&gt;"",COUNTA(H$1:H10),"")</f>
        <v>2</v>
      </c>
      <c r="B10" s="36" t="s">
        <v>387</v>
      </c>
      <c r="C10" s="21" t="s">
        <v>386</v>
      </c>
      <c r="D10" s="37" t="s">
        <v>62</v>
      </c>
      <c r="E10" s="38">
        <v>320</v>
      </c>
      <c r="F10" s="21"/>
      <c r="H10" s="44" t="s">
        <v>8</v>
      </c>
      <c r="R10" s="47"/>
    </row>
    <row r="11" spans="1:18" s="24" customFormat="1" ht="22.5" customHeight="1" x14ac:dyDescent="0.25">
      <c r="A11" s="35">
        <f>IF(H11&lt;&gt;"",COUNTA(H$1:H11),"")</f>
        <v>3</v>
      </c>
      <c r="B11" s="36" t="s">
        <v>216</v>
      </c>
      <c r="C11" s="21" t="s">
        <v>379</v>
      </c>
      <c r="D11" s="37" t="s">
        <v>62</v>
      </c>
      <c r="E11" s="38">
        <v>747</v>
      </c>
      <c r="F11" s="21"/>
      <c r="H11" s="44" t="s">
        <v>8</v>
      </c>
      <c r="R11" s="47"/>
    </row>
    <row r="12" spans="1:18" s="24" customFormat="1" ht="22.5" x14ac:dyDescent="0.25">
      <c r="A12" s="35">
        <f>IF(H12&lt;&gt;"",COUNTA(H$1:H12),"")</f>
        <v>4</v>
      </c>
      <c r="B12" s="36" t="s">
        <v>218</v>
      </c>
      <c r="C12" s="21" t="s">
        <v>380</v>
      </c>
      <c r="D12" s="37" t="s">
        <v>7</v>
      </c>
      <c r="E12" s="38">
        <v>8</v>
      </c>
      <c r="F12" s="21"/>
      <c r="H12" s="44" t="s">
        <v>8</v>
      </c>
      <c r="R12" s="47"/>
    </row>
    <row r="13" spans="1:18" s="24" customFormat="1" ht="21.75" customHeight="1" x14ac:dyDescent="0.25">
      <c r="A13" s="35">
        <f>IF(H13&lt;&gt;"",COUNTA(H$1:H13),"")</f>
        <v>5</v>
      </c>
      <c r="B13" s="36" t="s">
        <v>220</v>
      </c>
      <c r="C13" s="21" t="s">
        <v>381</v>
      </c>
      <c r="D13" s="37" t="s">
        <v>62</v>
      </c>
      <c r="E13" s="38">
        <v>620</v>
      </c>
      <c r="F13" s="21"/>
      <c r="H13" s="44" t="s">
        <v>8</v>
      </c>
      <c r="R13" s="47"/>
    </row>
    <row r="14" spans="1:18" s="24" customFormat="1" ht="33.75" x14ac:dyDescent="0.25">
      <c r="A14" s="35">
        <f>IF(H14&lt;&gt;"",COUNTA(H$1:H14),"")</f>
        <v>6</v>
      </c>
      <c r="B14" s="36" t="s">
        <v>12</v>
      </c>
      <c r="C14" s="21" t="s">
        <v>382</v>
      </c>
      <c r="D14" s="37" t="s">
        <v>62</v>
      </c>
      <c r="E14" s="38">
        <v>620</v>
      </c>
      <c r="F14" s="21"/>
      <c r="H14" s="44" t="s">
        <v>8</v>
      </c>
      <c r="R14" s="47"/>
    </row>
    <row r="15" spans="1:18" s="24" customFormat="1" ht="22.5" x14ac:dyDescent="0.25">
      <c r="A15" s="35">
        <f>IF(H15&lt;&gt;"",COUNTA(H$1:H15),"")</f>
        <v>7</v>
      </c>
      <c r="B15" s="36" t="s">
        <v>13</v>
      </c>
      <c r="C15" s="21" t="s">
        <v>383</v>
      </c>
      <c r="D15" s="37" t="s">
        <v>62</v>
      </c>
      <c r="E15" s="38">
        <v>620</v>
      </c>
      <c r="F15" s="21"/>
      <c r="H15" s="44" t="s">
        <v>8</v>
      </c>
      <c r="R15" s="47"/>
    </row>
    <row r="16" spans="1:18" s="24" customFormat="1" ht="22.5" x14ac:dyDescent="0.25">
      <c r="A16" s="35">
        <f>IF(H16&lt;&gt;"",COUNTA(H$1:H16),"")</f>
        <v>8</v>
      </c>
      <c r="B16" s="36" t="s">
        <v>14</v>
      </c>
      <c r="C16" s="21" t="s">
        <v>384</v>
      </c>
      <c r="D16" s="37" t="s">
        <v>62</v>
      </c>
      <c r="E16" s="38">
        <v>320</v>
      </c>
      <c r="F16" s="21"/>
      <c r="H16" s="44" t="s">
        <v>8</v>
      </c>
      <c r="R16" s="47"/>
    </row>
    <row r="17" spans="1:6" ht="11.25" customHeight="1" x14ac:dyDescent="0.2">
      <c r="A17" s="27"/>
      <c r="B17" s="28"/>
      <c r="C17" s="28"/>
      <c r="D17" s="28"/>
      <c r="E17" s="28"/>
      <c r="F17" s="28"/>
    </row>
    <row r="18" spans="1:6" s="24" customFormat="1" ht="15" x14ac:dyDescent="0.25">
      <c r="A18" s="30"/>
      <c r="B18" s="50"/>
      <c r="C18" s="30"/>
      <c r="D18" s="50"/>
      <c r="E18" s="30"/>
      <c r="F18" s="50"/>
    </row>
  </sheetData>
  <mergeCells count="4">
    <mergeCell ref="E1:F1"/>
    <mergeCell ref="A3:F3"/>
    <mergeCell ref="A4:F4"/>
    <mergeCell ref="A8:F8"/>
  </mergeCells>
  <printOptions horizontalCentered="1"/>
  <pageMargins left="0.78740155696868896" right="0.31496062874794001" top="0.31496062874794001" bottom="0.31496062874794001" header="0.19685038924217199" footer="0.19685038924217199"/>
  <pageSetup paperSize="9" scale="92"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2049" r:id="rId4">
          <objectPr defaultSize="0" r:id="rId5">
            <anchor moveWithCells="1" sizeWithCells="1">
              <from>
                <xdr:col>0</xdr:col>
                <xdr:colOff>0</xdr:colOff>
                <xdr:row>20</xdr:row>
                <xdr:rowOff>76200</xdr:rowOff>
              </from>
              <to>
                <xdr:col>5</xdr:col>
                <xdr:colOff>2438400</xdr:colOff>
                <xdr:row>30</xdr:row>
                <xdr:rowOff>95250</xdr:rowOff>
              </to>
            </anchor>
          </objectPr>
        </oleObject>
      </mc:Choice>
      <mc:Fallback>
        <oleObject progId="Word.Document.12" shapeId="2049"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pageSetUpPr fitToPage="1"/>
  </sheetPr>
  <dimension ref="A1:AE129"/>
  <sheetViews>
    <sheetView tabSelected="1" view="pageBreakPreview" topLeftCell="A70" zoomScale="91" zoomScaleNormal="184" zoomScaleSheetLayoutView="91" workbookViewId="0">
      <selection activeCell="P15" sqref="P15"/>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8.570312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9" width="107.85546875" style="45" hidden="1" customWidth="1"/>
    <col min="20" max="22" width="49.42578125" style="46" hidden="1" customWidth="1"/>
    <col min="23" max="25" width="47" style="49" hidden="1" customWidth="1"/>
    <col min="26" max="28" width="49.42578125" style="46" hidden="1" customWidth="1"/>
    <col min="29" max="31" width="47" style="49" hidden="1" customWidth="1"/>
    <col min="32" max="16384" width="9.140625" style="44"/>
  </cols>
  <sheetData>
    <row r="1" spans="1:19" ht="27" customHeight="1" x14ac:dyDescent="0.25">
      <c r="A1" s="54"/>
      <c r="B1" s="54"/>
      <c r="C1" s="54"/>
      <c r="D1" s="54"/>
      <c r="E1" s="119" t="s">
        <v>701</v>
      </c>
      <c r="F1" s="120"/>
    </row>
    <row r="2" spans="1:19" ht="11.25" customHeight="1" x14ac:dyDescent="0.2">
      <c r="A2" s="55"/>
      <c r="B2" s="55"/>
      <c r="C2" s="55"/>
      <c r="D2" s="55"/>
      <c r="E2" s="55"/>
      <c r="F2" s="55"/>
    </row>
    <row r="3" spans="1:19" ht="11.25" customHeight="1" x14ac:dyDescent="0.25">
      <c r="A3" s="121" t="s">
        <v>653</v>
      </c>
      <c r="B3" s="122"/>
      <c r="C3" s="122"/>
      <c r="D3" s="122"/>
      <c r="E3" s="122"/>
      <c r="F3" s="122"/>
    </row>
    <row r="4" spans="1:19" ht="11.25" customHeight="1" x14ac:dyDescent="0.2">
      <c r="A4" s="123" t="s">
        <v>654</v>
      </c>
      <c r="B4" s="123"/>
      <c r="C4" s="123"/>
      <c r="D4" s="123"/>
      <c r="E4" s="123"/>
      <c r="F4" s="123"/>
    </row>
    <row r="5" spans="1:19" s="24" customFormat="1" ht="9.75" customHeight="1" x14ac:dyDescent="0.25">
      <c r="A5" s="29"/>
      <c r="B5" s="30"/>
      <c r="C5" s="30"/>
      <c r="D5" s="30"/>
      <c r="E5" s="30"/>
      <c r="F5" s="30"/>
    </row>
    <row r="6" spans="1:19" s="24" customFormat="1" ht="36" customHeight="1" x14ac:dyDescent="0.25">
      <c r="A6" s="31" t="s">
        <v>0</v>
      </c>
      <c r="B6" s="32" t="s">
        <v>1</v>
      </c>
      <c r="C6" s="32" t="s">
        <v>2</v>
      </c>
      <c r="D6" s="32" t="s">
        <v>3</v>
      </c>
      <c r="E6" s="32" t="s">
        <v>4</v>
      </c>
      <c r="F6" s="32" t="s">
        <v>29</v>
      </c>
    </row>
    <row r="7" spans="1:19" s="24" customFormat="1" ht="15" x14ac:dyDescent="0.25">
      <c r="A7" s="33">
        <v>1</v>
      </c>
      <c r="B7" s="34">
        <v>2</v>
      </c>
      <c r="C7" s="34">
        <v>3</v>
      </c>
      <c r="D7" s="34">
        <v>4</v>
      </c>
      <c r="E7" s="34">
        <v>5</v>
      </c>
      <c r="F7" s="34">
        <v>6</v>
      </c>
    </row>
    <row r="8" spans="1:19" s="24" customFormat="1" ht="15" x14ac:dyDescent="0.25">
      <c r="A8" s="124" t="s">
        <v>435</v>
      </c>
      <c r="B8" s="124"/>
      <c r="C8" s="124"/>
      <c r="D8" s="124"/>
      <c r="E8" s="124"/>
      <c r="F8" s="124"/>
      <c r="R8" s="47" t="s">
        <v>435</v>
      </c>
    </row>
    <row r="9" spans="1:19" s="24" customFormat="1" ht="15" x14ac:dyDescent="0.25">
      <c r="A9" s="125" t="s">
        <v>436</v>
      </c>
      <c r="B9" s="125"/>
      <c r="C9" s="125"/>
      <c r="D9" s="125"/>
      <c r="E9" s="125"/>
      <c r="F9" s="125"/>
      <c r="R9" s="47"/>
      <c r="S9" s="25" t="s">
        <v>436</v>
      </c>
    </row>
    <row r="10" spans="1:19" s="24" customFormat="1" ht="22.5" x14ac:dyDescent="0.25">
      <c r="A10" s="35">
        <f>IF(H10&lt;&gt;"",COUNTA(H$1:H10),"")</f>
        <v>1</v>
      </c>
      <c r="B10" s="36" t="s">
        <v>31</v>
      </c>
      <c r="C10" s="21" t="s">
        <v>437</v>
      </c>
      <c r="D10" s="37" t="s">
        <v>65</v>
      </c>
      <c r="E10" s="40">
        <v>7</v>
      </c>
      <c r="F10" s="21" t="s">
        <v>438</v>
      </c>
      <c r="H10" s="44" t="s">
        <v>8</v>
      </c>
      <c r="R10" s="47"/>
      <c r="S10" s="25"/>
    </row>
    <row r="11" spans="1:19" s="24" customFormat="1" ht="22.5" x14ac:dyDescent="0.25">
      <c r="A11" s="35">
        <f>IF(H11&lt;&gt;"",COUNTA(H$1:H11),"")</f>
        <v>2</v>
      </c>
      <c r="B11" s="36" t="s">
        <v>558</v>
      </c>
      <c r="C11" s="21" t="s">
        <v>439</v>
      </c>
      <c r="D11" s="37" t="s">
        <v>60</v>
      </c>
      <c r="E11" s="51">
        <v>0.504</v>
      </c>
      <c r="F11" s="21" t="s">
        <v>440</v>
      </c>
      <c r="H11" s="44" t="s">
        <v>8</v>
      </c>
      <c r="R11" s="47"/>
      <c r="S11" s="25"/>
    </row>
    <row r="12" spans="1:19" s="24" customFormat="1" ht="56.25" x14ac:dyDescent="0.25">
      <c r="A12" s="35">
        <f>IF(H12&lt;&gt;"",COUNTA(H$1:H12),"")</f>
        <v>3</v>
      </c>
      <c r="B12" s="36" t="s">
        <v>560</v>
      </c>
      <c r="C12" s="21" t="s">
        <v>441</v>
      </c>
      <c r="D12" s="37" t="s">
        <v>62</v>
      </c>
      <c r="E12" s="38">
        <v>140</v>
      </c>
      <c r="F12" s="21" t="s">
        <v>559</v>
      </c>
      <c r="H12" s="44" t="s">
        <v>8</v>
      </c>
      <c r="R12" s="47"/>
      <c r="S12" s="25"/>
    </row>
    <row r="13" spans="1:19" s="24" customFormat="1" ht="15" x14ac:dyDescent="0.25">
      <c r="A13" s="125" t="s">
        <v>442</v>
      </c>
      <c r="B13" s="125"/>
      <c r="C13" s="125"/>
      <c r="D13" s="125"/>
      <c r="E13" s="125"/>
      <c r="F13" s="125"/>
      <c r="R13" s="47"/>
      <c r="S13" s="25" t="s">
        <v>442</v>
      </c>
    </row>
    <row r="14" spans="1:19" s="24" customFormat="1" ht="33.75" x14ac:dyDescent="0.25">
      <c r="A14" s="35">
        <f>IF(H14&lt;&gt;"",COUNTA(H$1:H14),"")</f>
        <v>4</v>
      </c>
      <c r="B14" s="36" t="s">
        <v>14</v>
      </c>
      <c r="C14" s="21" t="s">
        <v>443</v>
      </c>
      <c r="D14" s="37" t="s">
        <v>62</v>
      </c>
      <c r="E14" s="38">
        <v>258.95999999999998</v>
      </c>
      <c r="F14" s="21"/>
      <c r="H14" s="44" t="s">
        <v>8</v>
      </c>
      <c r="R14" s="47"/>
      <c r="S14" s="25"/>
    </row>
    <row r="15" spans="1:19" s="24" customFormat="1" ht="22.5" x14ac:dyDescent="0.25">
      <c r="A15" s="35">
        <f>IF(H15&lt;&gt;"",COUNTA(H$1:H15),"")</f>
        <v>5</v>
      </c>
      <c r="B15" s="36" t="s">
        <v>562</v>
      </c>
      <c r="C15" s="21" t="s">
        <v>561</v>
      </c>
      <c r="D15" s="37" t="s">
        <v>62</v>
      </c>
      <c r="E15" s="38">
        <v>210</v>
      </c>
      <c r="F15" s="21" t="s">
        <v>444</v>
      </c>
      <c r="H15" s="44" t="s">
        <v>8</v>
      </c>
      <c r="R15" s="47"/>
      <c r="S15" s="25"/>
    </row>
    <row r="16" spans="1:19" s="24" customFormat="1" ht="22.5" x14ac:dyDescent="0.25">
      <c r="A16" s="35">
        <f>IF(H16&lt;&gt;"",COUNTA(H$1:H16),"")</f>
        <v>6</v>
      </c>
      <c r="B16" s="36" t="s">
        <v>434</v>
      </c>
      <c r="C16" s="21" t="s">
        <v>439</v>
      </c>
      <c r="D16" s="37" t="s">
        <v>60</v>
      </c>
      <c r="E16" s="42">
        <v>0.42420000000000002</v>
      </c>
      <c r="F16" s="21" t="s">
        <v>440</v>
      </c>
      <c r="H16" s="44" t="s">
        <v>8</v>
      </c>
      <c r="R16" s="47"/>
      <c r="S16" s="25"/>
    </row>
    <row r="17" spans="1:19" s="24" customFormat="1" ht="45" x14ac:dyDescent="0.25">
      <c r="A17" s="35">
        <f>IF(H17&lt;&gt;"",COUNTA(H$1:H17),"")</f>
        <v>7</v>
      </c>
      <c r="B17" s="36" t="s">
        <v>564</v>
      </c>
      <c r="C17" s="21" t="s">
        <v>445</v>
      </c>
      <c r="D17" s="37" t="s">
        <v>62</v>
      </c>
      <c r="E17" s="38">
        <v>210</v>
      </c>
      <c r="F17" s="21" t="s">
        <v>563</v>
      </c>
      <c r="H17" s="44" t="s">
        <v>8</v>
      </c>
      <c r="R17" s="47"/>
      <c r="S17" s="25"/>
    </row>
    <row r="18" spans="1:19" s="24" customFormat="1" ht="15" x14ac:dyDescent="0.25">
      <c r="A18" s="125" t="s">
        <v>446</v>
      </c>
      <c r="B18" s="125"/>
      <c r="C18" s="125"/>
      <c r="D18" s="125"/>
      <c r="E18" s="125"/>
      <c r="F18" s="125"/>
      <c r="R18" s="47"/>
      <c r="S18" s="25" t="s">
        <v>446</v>
      </c>
    </row>
    <row r="19" spans="1:19" s="24" customFormat="1" ht="45" x14ac:dyDescent="0.25">
      <c r="A19" s="35">
        <f>IF(H19&lt;&gt;"",COUNTA(H$1:H19),"")</f>
        <v>8</v>
      </c>
      <c r="B19" s="36" t="s">
        <v>565</v>
      </c>
      <c r="C19" s="21" t="s">
        <v>445</v>
      </c>
      <c r="D19" s="37" t="s">
        <v>62</v>
      </c>
      <c r="E19" s="38">
        <v>78.8</v>
      </c>
      <c r="F19" s="21" t="s">
        <v>563</v>
      </c>
      <c r="H19" s="44" t="s">
        <v>8</v>
      </c>
      <c r="R19" s="47"/>
      <c r="S19" s="25"/>
    </row>
    <row r="20" spans="1:19" s="24" customFormat="1" ht="15" x14ac:dyDescent="0.25">
      <c r="A20" s="125" t="s">
        <v>447</v>
      </c>
      <c r="B20" s="125"/>
      <c r="C20" s="125"/>
      <c r="D20" s="125"/>
      <c r="E20" s="125"/>
      <c r="F20" s="125"/>
      <c r="R20" s="47"/>
      <c r="S20" s="25" t="s">
        <v>447</v>
      </c>
    </row>
    <row r="21" spans="1:19" s="24" customFormat="1" ht="22.5" x14ac:dyDescent="0.25">
      <c r="A21" s="35">
        <f>IF(H21&lt;&gt;"",COUNTA(H$1:H21),"")</f>
        <v>9</v>
      </c>
      <c r="B21" s="36" t="s">
        <v>566</v>
      </c>
      <c r="C21" s="21" t="s">
        <v>561</v>
      </c>
      <c r="D21" s="37" t="s">
        <v>62</v>
      </c>
      <c r="E21" s="38">
        <v>51.8</v>
      </c>
      <c r="F21" s="21" t="s">
        <v>444</v>
      </c>
      <c r="H21" s="44" t="s">
        <v>8</v>
      </c>
      <c r="R21" s="47"/>
      <c r="S21" s="25"/>
    </row>
    <row r="22" spans="1:19" s="24" customFormat="1" ht="22.5" x14ac:dyDescent="0.25">
      <c r="A22" s="35">
        <f>IF(H22&lt;&gt;"",COUNTA(H$1:H22),"")</f>
        <v>10</v>
      </c>
      <c r="B22" s="36" t="s">
        <v>54</v>
      </c>
      <c r="C22" s="21" t="s">
        <v>439</v>
      </c>
      <c r="D22" s="37" t="s">
        <v>60</v>
      </c>
      <c r="E22" s="53">
        <v>0.10463600000000001</v>
      </c>
      <c r="F22" s="21" t="s">
        <v>440</v>
      </c>
      <c r="H22" s="44" t="s">
        <v>8</v>
      </c>
      <c r="R22" s="47"/>
      <c r="S22" s="25"/>
    </row>
    <row r="23" spans="1:19" s="24" customFormat="1" ht="45" x14ac:dyDescent="0.25">
      <c r="A23" s="35">
        <f>IF(H23&lt;&gt;"",COUNTA(H$1:H23),"")</f>
        <v>11</v>
      </c>
      <c r="B23" s="36" t="s">
        <v>244</v>
      </c>
      <c r="C23" s="21" t="s">
        <v>445</v>
      </c>
      <c r="D23" s="37" t="s">
        <v>62</v>
      </c>
      <c r="E23" s="38">
        <v>51.8</v>
      </c>
      <c r="F23" s="21" t="s">
        <v>563</v>
      </c>
      <c r="H23" s="44" t="s">
        <v>8</v>
      </c>
      <c r="R23" s="47"/>
      <c r="S23" s="25"/>
    </row>
    <row r="24" spans="1:19" s="24" customFormat="1" ht="15" x14ac:dyDescent="0.25">
      <c r="A24" s="125" t="s">
        <v>448</v>
      </c>
      <c r="B24" s="125"/>
      <c r="C24" s="125"/>
      <c r="D24" s="125"/>
      <c r="E24" s="125"/>
      <c r="F24" s="125"/>
      <c r="R24" s="47"/>
      <c r="S24" s="25" t="s">
        <v>448</v>
      </c>
    </row>
    <row r="25" spans="1:19" s="24" customFormat="1" ht="45" x14ac:dyDescent="0.25">
      <c r="A25" s="35">
        <f>IF(H25&lt;&gt;"",COUNTA(H$1:H25),"")</f>
        <v>12</v>
      </c>
      <c r="B25" s="36" t="s">
        <v>568</v>
      </c>
      <c r="C25" s="21" t="s">
        <v>449</v>
      </c>
      <c r="D25" s="37" t="s">
        <v>62</v>
      </c>
      <c r="E25" s="38">
        <v>215.7</v>
      </c>
      <c r="F25" s="21" t="s">
        <v>567</v>
      </c>
      <c r="H25" s="44" t="s">
        <v>8</v>
      </c>
      <c r="R25" s="47"/>
      <c r="S25" s="25"/>
    </row>
    <row r="26" spans="1:19" s="24" customFormat="1" ht="15" x14ac:dyDescent="0.25">
      <c r="A26" s="125" t="s">
        <v>450</v>
      </c>
      <c r="B26" s="125"/>
      <c r="C26" s="125"/>
      <c r="D26" s="125"/>
      <c r="E26" s="125"/>
      <c r="F26" s="125"/>
      <c r="R26" s="47"/>
      <c r="S26" s="25" t="s">
        <v>450</v>
      </c>
    </row>
    <row r="27" spans="1:19" s="24" customFormat="1" ht="22.5" x14ac:dyDescent="0.25">
      <c r="A27" s="35">
        <f>IF(H27&lt;&gt;"",COUNTA(H$1:H27),"")</f>
        <v>13</v>
      </c>
      <c r="B27" s="36" t="s">
        <v>251</v>
      </c>
      <c r="C27" s="21" t="s">
        <v>451</v>
      </c>
      <c r="D27" s="37" t="s">
        <v>62</v>
      </c>
      <c r="E27" s="38">
        <v>170.5</v>
      </c>
      <c r="F27" s="21"/>
      <c r="H27" s="44" t="s">
        <v>8</v>
      </c>
      <c r="R27" s="47"/>
      <c r="S27" s="25"/>
    </row>
    <row r="28" spans="1:19" s="24" customFormat="1" ht="33.75" x14ac:dyDescent="0.25">
      <c r="A28" s="35">
        <f>IF(H28&lt;&gt;"",COUNTA(H$1:H28),"")</f>
        <v>14</v>
      </c>
      <c r="B28" s="36" t="s">
        <v>569</v>
      </c>
      <c r="C28" s="21" t="s">
        <v>452</v>
      </c>
      <c r="D28" s="37" t="s">
        <v>62</v>
      </c>
      <c r="E28" s="38">
        <v>170.5</v>
      </c>
      <c r="F28" s="21" t="s">
        <v>453</v>
      </c>
      <c r="H28" s="44" t="s">
        <v>8</v>
      </c>
      <c r="R28" s="47"/>
      <c r="S28" s="25"/>
    </row>
    <row r="29" spans="1:19" s="24" customFormat="1" ht="22.5" x14ac:dyDescent="0.25">
      <c r="A29" s="35">
        <f>IF(H29&lt;&gt;"",COUNTA(H$1:H29),"")</f>
        <v>15</v>
      </c>
      <c r="B29" s="36" t="s">
        <v>570</v>
      </c>
      <c r="C29" s="21" t="s">
        <v>454</v>
      </c>
      <c r="D29" s="37" t="s">
        <v>62</v>
      </c>
      <c r="E29" s="38">
        <v>170.5</v>
      </c>
      <c r="F29" s="21" t="s">
        <v>455</v>
      </c>
      <c r="H29" s="44" t="s">
        <v>8</v>
      </c>
      <c r="R29" s="47"/>
      <c r="S29" s="25"/>
    </row>
    <row r="30" spans="1:19" s="24" customFormat="1" ht="45" x14ac:dyDescent="0.25">
      <c r="A30" s="35">
        <f>IF(H30&lt;&gt;"",COUNTA(H$1:H30),"")</f>
        <v>16</v>
      </c>
      <c r="B30" s="36" t="s">
        <v>571</v>
      </c>
      <c r="C30" s="21" t="s">
        <v>456</v>
      </c>
      <c r="D30" s="37" t="s">
        <v>62</v>
      </c>
      <c r="E30" s="38">
        <v>170.5</v>
      </c>
      <c r="F30" s="21" t="s">
        <v>457</v>
      </c>
      <c r="H30" s="44" t="s">
        <v>8</v>
      </c>
      <c r="R30" s="47"/>
      <c r="S30" s="25"/>
    </row>
    <row r="31" spans="1:19" s="24" customFormat="1" ht="15" x14ac:dyDescent="0.25">
      <c r="A31" s="125" t="s">
        <v>458</v>
      </c>
      <c r="B31" s="125"/>
      <c r="C31" s="125"/>
      <c r="D31" s="125"/>
      <c r="E31" s="125"/>
      <c r="F31" s="125"/>
      <c r="R31" s="47"/>
      <c r="S31" s="25" t="s">
        <v>458</v>
      </c>
    </row>
    <row r="32" spans="1:19" s="24" customFormat="1" ht="45" x14ac:dyDescent="0.25">
      <c r="A32" s="35">
        <f>IF(H32&lt;&gt;"",COUNTA(H$1:H32),"")</f>
        <v>17</v>
      </c>
      <c r="B32" s="36" t="s">
        <v>573</v>
      </c>
      <c r="C32" s="21" t="s">
        <v>459</v>
      </c>
      <c r="D32" s="37" t="s">
        <v>59</v>
      </c>
      <c r="E32" s="38">
        <v>92.2</v>
      </c>
      <c r="F32" s="21" t="s">
        <v>572</v>
      </c>
      <c r="H32" s="44" t="s">
        <v>8</v>
      </c>
      <c r="R32" s="47"/>
      <c r="S32" s="25"/>
    </row>
    <row r="33" spans="1:19" s="24" customFormat="1" ht="33.75" x14ac:dyDescent="0.25">
      <c r="A33" s="35">
        <f>IF(H33&lt;&gt;"",COUNTA(H$1:H33),"")</f>
        <v>18</v>
      </c>
      <c r="B33" s="36" t="s">
        <v>574</v>
      </c>
      <c r="C33" s="21" t="s">
        <v>460</v>
      </c>
      <c r="D33" s="37" t="s">
        <v>59</v>
      </c>
      <c r="E33" s="38">
        <v>234.4</v>
      </c>
      <c r="F33" s="21" t="s">
        <v>461</v>
      </c>
      <c r="H33" s="44" t="s">
        <v>8</v>
      </c>
      <c r="R33" s="47"/>
      <c r="S33" s="25"/>
    </row>
    <row r="34" spans="1:19" s="24" customFormat="1" ht="15" x14ac:dyDescent="0.25">
      <c r="A34" s="35">
        <f>IF(H34&lt;&gt;"",COUNTA(H$1:H34),"")</f>
        <v>19</v>
      </c>
      <c r="B34" s="36" t="s">
        <v>260</v>
      </c>
      <c r="C34" s="21" t="s">
        <v>462</v>
      </c>
      <c r="D34" s="37" t="s">
        <v>59</v>
      </c>
      <c r="E34" s="38">
        <v>54.8</v>
      </c>
      <c r="F34" s="21"/>
      <c r="H34" s="44" t="s">
        <v>8</v>
      </c>
      <c r="R34" s="47"/>
      <c r="S34" s="25"/>
    </row>
    <row r="35" spans="1:19" s="24" customFormat="1" ht="22.5" x14ac:dyDescent="0.25">
      <c r="A35" s="35">
        <f>IF(H35&lt;&gt;"",COUNTA(H$1:H35),"")</f>
        <v>20</v>
      </c>
      <c r="B35" s="36" t="s">
        <v>126</v>
      </c>
      <c r="C35" s="21" t="s">
        <v>463</v>
      </c>
      <c r="D35" s="37" t="s">
        <v>62</v>
      </c>
      <c r="E35" s="38">
        <v>2.9592000000000001</v>
      </c>
      <c r="F35" s="21" t="s">
        <v>464</v>
      </c>
      <c r="H35" s="44" t="s">
        <v>8</v>
      </c>
      <c r="R35" s="47"/>
      <c r="S35" s="25"/>
    </row>
    <row r="36" spans="1:19" s="24" customFormat="1" ht="15" x14ac:dyDescent="0.25">
      <c r="A36" s="125" t="s">
        <v>465</v>
      </c>
      <c r="B36" s="125"/>
      <c r="C36" s="125"/>
      <c r="D36" s="125"/>
      <c r="E36" s="125"/>
      <c r="F36" s="125"/>
      <c r="R36" s="47"/>
      <c r="S36" s="25" t="s">
        <v>465</v>
      </c>
    </row>
    <row r="37" spans="1:19" s="24" customFormat="1" ht="33.75" x14ac:dyDescent="0.25">
      <c r="A37" s="35">
        <f>IF(H37&lt;&gt;"",COUNTA(H$1:H37),"")</f>
        <v>21</v>
      </c>
      <c r="B37" s="36" t="s">
        <v>127</v>
      </c>
      <c r="C37" s="21" t="s">
        <v>466</v>
      </c>
      <c r="D37" s="37" t="s">
        <v>62</v>
      </c>
      <c r="E37" s="38">
        <v>34.1</v>
      </c>
      <c r="F37" s="21" t="s">
        <v>467</v>
      </c>
      <c r="H37" s="44" t="s">
        <v>8</v>
      </c>
      <c r="R37" s="47"/>
      <c r="S37" s="25"/>
    </row>
    <row r="38" spans="1:19" s="24" customFormat="1" ht="15" x14ac:dyDescent="0.25">
      <c r="A38" s="124" t="s">
        <v>468</v>
      </c>
      <c r="B38" s="124"/>
      <c r="C38" s="124"/>
      <c r="D38" s="124"/>
      <c r="E38" s="124"/>
      <c r="F38" s="124"/>
      <c r="R38" s="47" t="s">
        <v>468</v>
      </c>
      <c r="S38" s="25"/>
    </row>
    <row r="39" spans="1:19" s="24" customFormat="1" ht="15" x14ac:dyDescent="0.25">
      <c r="A39" s="125" t="s">
        <v>469</v>
      </c>
      <c r="B39" s="125"/>
      <c r="C39" s="125"/>
      <c r="D39" s="125"/>
      <c r="E39" s="125"/>
      <c r="F39" s="125"/>
      <c r="R39" s="47"/>
      <c r="S39" s="25" t="s">
        <v>469</v>
      </c>
    </row>
    <row r="40" spans="1:19" s="24" customFormat="1" ht="22.5" x14ac:dyDescent="0.25">
      <c r="A40" s="35">
        <f>IF(H40&lt;&gt;"",COUNTA(H$1:H40),"")</f>
        <v>22</v>
      </c>
      <c r="B40" s="36" t="s">
        <v>264</v>
      </c>
      <c r="C40" s="21" t="s">
        <v>470</v>
      </c>
      <c r="D40" s="37" t="s">
        <v>62</v>
      </c>
      <c r="E40" s="38">
        <v>807.8</v>
      </c>
      <c r="F40" s="21"/>
      <c r="H40" s="44" t="s">
        <v>8</v>
      </c>
      <c r="R40" s="47"/>
      <c r="S40" s="25"/>
    </row>
    <row r="41" spans="1:19" s="24" customFormat="1" ht="22.5" x14ac:dyDescent="0.25">
      <c r="A41" s="35">
        <f>IF(H41&lt;&gt;"",COUNTA(H$1:H41),"")</f>
        <v>23</v>
      </c>
      <c r="B41" s="36" t="s">
        <v>575</v>
      </c>
      <c r="C41" s="21" t="s">
        <v>471</v>
      </c>
      <c r="D41" s="37" t="s">
        <v>62</v>
      </c>
      <c r="E41" s="38">
        <v>110.7</v>
      </c>
      <c r="F41" s="21" t="s">
        <v>472</v>
      </c>
      <c r="H41" s="44" t="s">
        <v>8</v>
      </c>
      <c r="R41" s="47"/>
      <c r="S41" s="25"/>
    </row>
    <row r="42" spans="1:19" s="24" customFormat="1" ht="45" x14ac:dyDescent="0.25">
      <c r="A42" s="35">
        <f>IF(H42&lt;&gt;"",COUNTA(H$1:H42),"")</f>
        <v>24</v>
      </c>
      <c r="B42" s="36" t="s">
        <v>267</v>
      </c>
      <c r="C42" s="21" t="s">
        <v>473</v>
      </c>
      <c r="D42" s="37" t="s">
        <v>62</v>
      </c>
      <c r="E42" s="38">
        <v>203.4</v>
      </c>
      <c r="F42" s="21"/>
      <c r="H42" s="44" t="s">
        <v>8</v>
      </c>
      <c r="R42" s="47"/>
      <c r="S42" s="25"/>
    </row>
    <row r="43" spans="1:19" s="24" customFormat="1" ht="33.75" x14ac:dyDescent="0.25">
      <c r="A43" s="35">
        <f>IF(H43&lt;&gt;"",COUNTA(H$1:H43),"")</f>
        <v>25</v>
      </c>
      <c r="B43" s="36" t="s">
        <v>577</v>
      </c>
      <c r="C43" s="21" t="s">
        <v>474</v>
      </c>
      <c r="D43" s="37" t="s">
        <v>62</v>
      </c>
      <c r="E43" s="38">
        <v>203.4</v>
      </c>
      <c r="F43" s="21" t="s">
        <v>576</v>
      </c>
      <c r="H43" s="44" t="s">
        <v>8</v>
      </c>
      <c r="R43" s="47"/>
      <c r="S43" s="25"/>
    </row>
    <row r="44" spans="1:19" s="24" customFormat="1" ht="15" x14ac:dyDescent="0.25">
      <c r="A44" s="125" t="s">
        <v>475</v>
      </c>
      <c r="B44" s="125"/>
      <c r="C44" s="125"/>
      <c r="D44" s="125"/>
      <c r="E44" s="125"/>
      <c r="F44" s="125"/>
      <c r="R44" s="47"/>
      <c r="S44" s="25" t="s">
        <v>475</v>
      </c>
    </row>
    <row r="45" spans="1:19" s="24" customFormat="1" ht="45" x14ac:dyDescent="0.25">
      <c r="A45" s="35">
        <f>IF(H45&lt;&gt;"",COUNTA(H$1:H45),"")</f>
        <v>26</v>
      </c>
      <c r="B45" s="36" t="s">
        <v>270</v>
      </c>
      <c r="C45" s="21" t="s">
        <v>476</v>
      </c>
      <c r="D45" s="37" t="s">
        <v>62</v>
      </c>
      <c r="E45" s="38">
        <v>1750</v>
      </c>
      <c r="F45" s="21"/>
      <c r="H45" s="44" t="s">
        <v>8</v>
      </c>
      <c r="R45" s="47"/>
      <c r="S45" s="25"/>
    </row>
    <row r="46" spans="1:19" s="24" customFormat="1" ht="33.75" x14ac:dyDescent="0.25">
      <c r="A46" s="35">
        <f>IF(H46&lt;&gt;"",COUNTA(H$1:H46),"")</f>
        <v>27</v>
      </c>
      <c r="B46" s="36" t="s">
        <v>579</v>
      </c>
      <c r="C46" s="21" t="s">
        <v>477</v>
      </c>
      <c r="D46" s="37" t="s">
        <v>62</v>
      </c>
      <c r="E46" s="38">
        <v>1750</v>
      </c>
      <c r="F46" s="21" t="s">
        <v>578</v>
      </c>
      <c r="H46" s="44" t="s">
        <v>8</v>
      </c>
      <c r="R46" s="47"/>
      <c r="S46" s="25"/>
    </row>
    <row r="47" spans="1:19" s="24" customFormat="1" ht="45" x14ac:dyDescent="0.25">
      <c r="A47" s="35">
        <f>IF(H47&lt;&gt;"",COUNTA(H$1:H47),"")</f>
        <v>28</v>
      </c>
      <c r="B47" s="36" t="s">
        <v>272</v>
      </c>
      <c r="C47" s="21" t="s">
        <v>478</v>
      </c>
      <c r="D47" s="37" t="s">
        <v>62</v>
      </c>
      <c r="E47" s="38">
        <v>363.24</v>
      </c>
      <c r="F47" s="21"/>
      <c r="H47" s="44" t="s">
        <v>8</v>
      </c>
      <c r="R47" s="47"/>
      <c r="S47" s="25"/>
    </row>
    <row r="48" spans="1:19" s="24" customFormat="1" ht="22.5" x14ac:dyDescent="0.25">
      <c r="A48" s="35">
        <f>IF(H48&lt;&gt;"",COUNTA(H$1:H48),"")</f>
        <v>29</v>
      </c>
      <c r="B48" s="36" t="s">
        <v>581</v>
      </c>
      <c r="C48" s="21" t="s">
        <v>479</v>
      </c>
      <c r="D48" s="37" t="s">
        <v>62</v>
      </c>
      <c r="E48" s="38">
        <v>363.24</v>
      </c>
      <c r="F48" s="21" t="s">
        <v>580</v>
      </c>
      <c r="H48" s="44" t="s">
        <v>8</v>
      </c>
      <c r="R48" s="47"/>
      <c r="S48" s="25"/>
    </row>
    <row r="49" spans="1:19" s="24" customFormat="1" ht="67.5" x14ac:dyDescent="0.25">
      <c r="A49" s="35">
        <f>IF(H49&lt;&gt;"",COUNTA(H$1:H49),"")</f>
        <v>30</v>
      </c>
      <c r="B49" s="36" t="s">
        <v>583</v>
      </c>
      <c r="C49" s="21" t="s">
        <v>480</v>
      </c>
      <c r="D49" s="37" t="s">
        <v>62</v>
      </c>
      <c r="E49" s="38">
        <v>363.24</v>
      </c>
      <c r="F49" s="21" t="s">
        <v>582</v>
      </c>
      <c r="H49" s="44" t="s">
        <v>8</v>
      </c>
      <c r="R49" s="47"/>
      <c r="S49" s="25"/>
    </row>
    <row r="50" spans="1:19" s="24" customFormat="1" ht="15" x14ac:dyDescent="0.25">
      <c r="A50" s="124" t="s">
        <v>481</v>
      </c>
      <c r="B50" s="124"/>
      <c r="C50" s="124"/>
      <c r="D50" s="124"/>
      <c r="E50" s="124"/>
      <c r="F50" s="124"/>
      <c r="R50" s="47" t="s">
        <v>481</v>
      </c>
      <c r="S50" s="25"/>
    </row>
    <row r="51" spans="1:19" s="24" customFormat="1" ht="15" x14ac:dyDescent="0.25">
      <c r="A51" s="125" t="s">
        <v>482</v>
      </c>
      <c r="B51" s="125"/>
      <c r="C51" s="125"/>
      <c r="D51" s="125"/>
      <c r="E51" s="125"/>
      <c r="F51" s="125"/>
      <c r="R51" s="47"/>
      <c r="S51" s="25" t="s">
        <v>482</v>
      </c>
    </row>
    <row r="52" spans="1:19" s="24" customFormat="1" ht="78.75" x14ac:dyDescent="0.25">
      <c r="A52" s="35">
        <f>IF(H52&lt;&gt;"",COUNTA(H$1:H52),"")</f>
        <v>31</v>
      </c>
      <c r="B52" s="36" t="s">
        <v>136</v>
      </c>
      <c r="C52" s="21" t="s">
        <v>483</v>
      </c>
      <c r="D52" s="37" t="s">
        <v>62</v>
      </c>
      <c r="E52" s="38">
        <v>188.916</v>
      </c>
      <c r="F52" s="21" t="s">
        <v>584</v>
      </c>
      <c r="H52" s="44" t="s">
        <v>8</v>
      </c>
      <c r="R52" s="47"/>
      <c r="S52" s="25"/>
    </row>
    <row r="53" spans="1:19" s="24" customFormat="1" ht="78.75" x14ac:dyDescent="0.25">
      <c r="A53" s="35">
        <f>IF(H53&lt;&gt;"",COUNTA(H$1:H53),"")</f>
        <v>32</v>
      </c>
      <c r="B53" s="36" t="s">
        <v>585</v>
      </c>
      <c r="C53" s="21" t="s">
        <v>484</v>
      </c>
      <c r="D53" s="37" t="s">
        <v>62</v>
      </c>
      <c r="E53" s="38">
        <v>6.7679999999999998</v>
      </c>
      <c r="F53" s="21" t="s">
        <v>485</v>
      </c>
      <c r="H53" s="44" t="s">
        <v>8</v>
      </c>
      <c r="R53" s="47"/>
      <c r="S53" s="25"/>
    </row>
    <row r="54" spans="1:19" s="24" customFormat="1" ht="33.75" x14ac:dyDescent="0.25">
      <c r="A54" s="35">
        <f>IF(H54&lt;&gt;"",COUNTA(H$1:H54),"")</f>
        <v>33</v>
      </c>
      <c r="B54" s="36" t="s">
        <v>586</v>
      </c>
      <c r="C54" s="21" t="s">
        <v>486</v>
      </c>
      <c r="D54" s="37" t="s">
        <v>59</v>
      </c>
      <c r="E54" s="38">
        <v>97.7</v>
      </c>
      <c r="F54" s="21" t="s">
        <v>587</v>
      </c>
      <c r="H54" s="44" t="s">
        <v>8</v>
      </c>
      <c r="R54" s="47"/>
      <c r="S54" s="25"/>
    </row>
    <row r="55" spans="1:19" s="24" customFormat="1" ht="15" x14ac:dyDescent="0.25">
      <c r="A55" s="35">
        <f>IF(H55&lt;&gt;"",COUNTA(H$1:H55),"")</f>
        <v>34</v>
      </c>
      <c r="B55" s="36" t="s">
        <v>588</v>
      </c>
      <c r="C55" s="21" t="s">
        <v>487</v>
      </c>
      <c r="D55" s="37" t="s">
        <v>59</v>
      </c>
      <c r="E55" s="38">
        <v>287.54000000000002</v>
      </c>
      <c r="F55" s="21" t="s">
        <v>488</v>
      </c>
      <c r="H55" s="44" t="s">
        <v>8</v>
      </c>
      <c r="R55" s="47"/>
      <c r="S55" s="25"/>
    </row>
    <row r="56" spans="1:19" s="24" customFormat="1" ht="45" x14ac:dyDescent="0.25">
      <c r="A56" s="35">
        <f>IF(H56&lt;&gt;"",COUNTA(H$1:H56),"")</f>
        <v>35</v>
      </c>
      <c r="B56" s="36" t="s">
        <v>589</v>
      </c>
      <c r="C56" s="21" t="s">
        <v>489</v>
      </c>
      <c r="D56" s="37" t="s">
        <v>62</v>
      </c>
      <c r="E56" s="38">
        <v>97.78</v>
      </c>
      <c r="F56" s="21" t="s">
        <v>490</v>
      </c>
      <c r="H56" s="44" t="s">
        <v>8</v>
      </c>
      <c r="R56" s="47"/>
      <c r="S56" s="25"/>
    </row>
    <row r="57" spans="1:19" s="24" customFormat="1" ht="15" x14ac:dyDescent="0.25">
      <c r="A57" s="125" t="s">
        <v>491</v>
      </c>
      <c r="B57" s="125"/>
      <c r="C57" s="125"/>
      <c r="D57" s="125"/>
      <c r="E57" s="125"/>
      <c r="F57" s="125"/>
      <c r="R57" s="47"/>
      <c r="S57" s="25" t="s">
        <v>491</v>
      </c>
    </row>
    <row r="58" spans="1:19" s="24" customFormat="1" ht="22.5" x14ac:dyDescent="0.25">
      <c r="A58" s="35">
        <f>IF(H58&lt;&gt;"",COUNTA(H$1:H58),"")</f>
        <v>36</v>
      </c>
      <c r="B58" s="36" t="s">
        <v>590</v>
      </c>
      <c r="C58" s="21" t="s">
        <v>492</v>
      </c>
      <c r="D58" s="37" t="s">
        <v>62</v>
      </c>
      <c r="E58" s="41">
        <v>20.79</v>
      </c>
      <c r="F58" s="21" t="s">
        <v>493</v>
      </c>
      <c r="H58" s="44" t="s">
        <v>8</v>
      </c>
      <c r="R58" s="47"/>
      <c r="S58" s="25"/>
    </row>
    <row r="59" spans="1:19" s="24" customFormat="1" ht="22.5" x14ac:dyDescent="0.25">
      <c r="A59" s="35">
        <f>IF(H59&lt;&gt;"",COUNTA(H$1:H59),"")</f>
        <v>37</v>
      </c>
      <c r="B59" s="36" t="s">
        <v>591</v>
      </c>
      <c r="C59" s="21" t="s">
        <v>494</v>
      </c>
      <c r="D59" s="37" t="s">
        <v>62</v>
      </c>
      <c r="E59" s="41">
        <v>7.56</v>
      </c>
      <c r="F59" s="21" t="s">
        <v>495</v>
      </c>
      <c r="H59" s="44" t="s">
        <v>8</v>
      </c>
      <c r="R59" s="47"/>
      <c r="S59" s="25"/>
    </row>
    <row r="60" spans="1:19" s="24" customFormat="1" ht="56.25" x14ac:dyDescent="0.25">
      <c r="A60" s="35">
        <f>IF(H60&lt;&gt;"",COUNTA(H$1:H60),"")</f>
        <v>38</v>
      </c>
      <c r="B60" s="36" t="s">
        <v>283</v>
      </c>
      <c r="C60" s="21" t="s">
        <v>496</v>
      </c>
      <c r="D60" s="37" t="s">
        <v>62</v>
      </c>
      <c r="E60" s="38">
        <v>3.48</v>
      </c>
      <c r="F60" s="21"/>
      <c r="H60" s="44" t="s">
        <v>8</v>
      </c>
      <c r="R60" s="47"/>
      <c r="S60" s="25"/>
    </row>
    <row r="61" spans="1:19" s="24" customFormat="1" ht="45" x14ac:dyDescent="0.25">
      <c r="A61" s="35">
        <f>IF(H61&lt;&gt;"",COUNTA(H$1:H61),"")</f>
        <v>39</v>
      </c>
      <c r="B61" s="36" t="s">
        <v>103</v>
      </c>
      <c r="C61" s="21" t="s">
        <v>497</v>
      </c>
      <c r="D61" s="37" t="s">
        <v>62</v>
      </c>
      <c r="E61" s="38">
        <v>19.559999999999999</v>
      </c>
      <c r="F61" s="21"/>
      <c r="H61" s="44" t="s">
        <v>8</v>
      </c>
      <c r="R61" s="47"/>
      <c r="S61" s="25"/>
    </row>
    <row r="62" spans="1:19" s="24" customFormat="1" ht="33.75" x14ac:dyDescent="0.25">
      <c r="A62" s="35">
        <f>IF(H62&lt;&gt;"",COUNTA(H$1:H62),"")</f>
        <v>40</v>
      </c>
      <c r="B62" s="36" t="s">
        <v>284</v>
      </c>
      <c r="C62" s="21" t="s">
        <v>498</v>
      </c>
      <c r="D62" s="37" t="s">
        <v>62</v>
      </c>
      <c r="E62" s="41">
        <v>10.44</v>
      </c>
      <c r="F62" s="21"/>
      <c r="H62" s="44" t="s">
        <v>8</v>
      </c>
      <c r="R62" s="47"/>
      <c r="S62" s="25"/>
    </row>
    <row r="63" spans="1:19" s="24" customFormat="1" ht="56.25" x14ac:dyDescent="0.25">
      <c r="A63" s="35">
        <f>IF(H63&lt;&gt;"",COUNTA(H$1:H63),"")</f>
        <v>41</v>
      </c>
      <c r="B63" s="36" t="s">
        <v>286</v>
      </c>
      <c r="C63" s="21" t="s">
        <v>499</v>
      </c>
      <c r="D63" s="37" t="s">
        <v>62</v>
      </c>
      <c r="E63" s="43">
        <v>12.6</v>
      </c>
      <c r="F63" s="21"/>
      <c r="H63" s="44" t="s">
        <v>8</v>
      </c>
      <c r="R63" s="47"/>
      <c r="S63" s="25"/>
    </row>
    <row r="64" spans="1:19" s="24" customFormat="1" ht="45" x14ac:dyDescent="0.25">
      <c r="A64" s="35">
        <f>IF(H64&lt;&gt;"",COUNTA(H$1:H64),"")</f>
        <v>42</v>
      </c>
      <c r="B64" s="36" t="s">
        <v>287</v>
      </c>
      <c r="C64" s="21" t="s">
        <v>500</v>
      </c>
      <c r="D64" s="37" t="s">
        <v>62</v>
      </c>
      <c r="E64" s="38">
        <v>68.67</v>
      </c>
      <c r="F64" s="21"/>
      <c r="H64" s="44" t="s">
        <v>8</v>
      </c>
      <c r="R64" s="47"/>
      <c r="S64" s="25"/>
    </row>
    <row r="65" spans="1:19" s="24" customFormat="1" ht="45" x14ac:dyDescent="0.25">
      <c r="A65" s="35">
        <f>IF(H65&lt;&gt;"",COUNTA(H$1:H65),"")</f>
        <v>43</v>
      </c>
      <c r="B65" s="36" t="s">
        <v>289</v>
      </c>
      <c r="C65" s="21" t="s">
        <v>501</v>
      </c>
      <c r="D65" s="37" t="s">
        <v>62</v>
      </c>
      <c r="E65" s="38">
        <v>33.81</v>
      </c>
      <c r="F65" s="21"/>
      <c r="H65" s="44" t="s">
        <v>8</v>
      </c>
      <c r="R65" s="47"/>
      <c r="S65" s="25"/>
    </row>
    <row r="66" spans="1:19" s="24" customFormat="1" ht="33.75" x14ac:dyDescent="0.25">
      <c r="A66" s="35">
        <f>IF(H66&lt;&gt;"",COUNTA(H$1:H66),"")</f>
        <v>44</v>
      </c>
      <c r="B66" s="36" t="s">
        <v>290</v>
      </c>
      <c r="C66" s="21" t="s">
        <v>502</v>
      </c>
      <c r="D66" s="37" t="s">
        <v>62</v>
      </c>
      <c r="E66" s="41">
        <v>102.48</v>
      </c>
      <c r="F66" s="21"/>
      <c r="H66" s="44" t="s">
        <v>8</v>
      </c>
      <c r="R66" s="47"/>
      <c r="S66" s="25"/>
    </row>
    <row r="67" spans="1:19" s="24" customFormat="1" ht="33.75" x14ac:dyDescent="0.25">
      <c r="A67" s="35">
        <f>IF(H67&lt;&gt;"",COUNTA(H$1:H67),"")</f>
        <v>45</v>
      </c>
      <c r="B67" s="36" t="s">
        <v>291</v>
      </c>
      <c r="C67" s="21" t="s">
        <v>503</v>
      </c>
      <c r="D67" s="37" t="s">
        <v>231</v>
      </c>
      <c r="E67" s="40">
        <v>55</v>
      </c>
      <c r="F67" s="21"/>
      <c r="H67" s="44" t="s">
        <v>8</v>
      </c>
      <c r="R67" s="47"/>
      <c r="S67" s="25"/>
    </row>
    <row r="68" spans="1:19" s="24" customFormat="1" ht="22.5" x14ac:dyDescent="0.25">
      <c r="A68" s="35">
        <f>IF(H68&lt;&gt;"",COUNTA(H$1:H68),"")</f>
        <v>46</v>
      </c>
      <c r="B68" s="36" t="s">
        <v>592</v>
      </c>
      <c r="C68" s="21" t="s">
        <v>504</v>
      </c>
      <c r="D68" s="37" t="s">
        <v>59</v>
      </c>
      <c r="E68" s="38">
        <v>377.726</v>
      </c>
      <c r="F68" s="21" t="s">
        <v>505</v>
      </c>
      <c r="H68" s="44" t="s">
        <v>8</v>
      </c>
      <c r="R68" s="47"/>
      <c r="S68" s="25"/>
    </row>
    <row r="69" spans="1:19" s="24" customFormat="1" ht="22.5" x14ac:dyDescent="0.25">
      <c r="A69" s="35">
        <f>IF(H69&lt;&gt;"",COUNTA(H$1:H69),"")</f>
        <v>47</v>
      </c>
      <c r="B69" s="36" t="s">
        <v>148</v>
      </c>
      <c r="C69" s="21" t="s">
        <v>506</v>
      </c>
      <c r="D69" s="37" t="s">
        <v>7</v>
      </c>
      <c r="E69" s="38">
        <v>8</v>
      </c>
      <c r="F69" s="21" t="s">
        <v>507</v>
      </c>
      <c r="H69" s="44" t="s">
        <v>8</v>
      </c>
      <c r="R69" s="47"/>
      <c r="S69" s="25"/>
    </row>
    <row r="70" spans="1:19" s="24" customFormat="1" ht="15" x14ac:dyDescent="0.25">
      <c r="A70" s="124" t="s">
        <v>508</v>
      </c>
      <c r="B70" s="124"/>
      <c r="C70" s="124"/>
      <c r="D70" s="124"/>
      <c r="E70" s="124"/>
      <c r="F70" s="124"/>
      <c r="R70" s="47" t="s">
        <v>508</v>
      </c>
      <c r="S70" s="25"/>
    </row>
    <row r="71" spans="1:19" s="24" customFormat="1" ht="15" x14ac:dyDescent="0.25">
      <c r="A71" s="125" t="s">
        <v>509</v>
      </c>
      <c r="B71" s="125"/>
      <c r="C71" s="125"/>
      <c r="D71" s="125"/>
      <c r="E71" s="125"/>
      <c r="F71" s="125"/>
      <c r="R71" s="47"/>
      <c r="S71" s="25" t="s">
        <v>509</v>
      </c>
    </row>
    <row r="72" spans="1:19" s="24" customFormat="1" ht="45" x14ac:dyDescent="0.25">
      <c r="A72" s="35">
        <f>IF(H72&lt;&gt;"",COUNTA(H$1:H72),"")</f>
        <v>48</v>
      </c>
      <c r="B72" s="36" t="s">
        <v>594</v>
      </c>
      <c r="C72" s="21" t="s">
        <v>61</v>
      </c>
      <c r="D72" s="37" t="s">
        <v>60</v>
      </c>
      <c r="E72" s="39">
        <v>8.4239999999999995E-2</v>
      </c>
      <c r="F72" s="21" t="s">
        <v>593</v>
      </c>
      <c r="H72" s="44" t="s">
        <v>8</v>
      </c>
      <c r="R72" s="47"/>
      <c r="S72" s="25"/>
    </row>
    <row r="73" spans="1:19" s="24" customFormat="1" ht="15" x14ac:dyDescent="0.25">
      <c r="A73" s="125" t="s">
        <v>595</v>
      </c>
      <c r="B73" s="125"/>
      <c r="C73" s="125"/>
      <c r="D73" s="125"/>
      <c r="E73" s="125"/>
      <c r="F73" s="125"/>
      <c r="R73" s="47"/>
      <c r="S73" s="25" t="s">
        <v>510</v>
      </c>
    </row>
    <row r="74" spans="1:19" s="24" customFormat="1" ht="78.75" x14ac:dyDescent="0.25">
      <c r="A74" s="35">
        <f>IF(H74&lt;&gt;"",COUNTA(H$1:H74),"")</f>
        <v>49</v>
      </c>
      <c r="B74" s="36" t="s">
        <v>597</v>
      </c>
      <c r="C74" s="21" t="s">
        <v>61</v>
      </c>
      <c r="D74" s="37" t="s">
        <v>60</v>
      </c>
      <c r="E74" s="53">
        <v>0.57807799999999998</v>
      </c>
      <c r="F74" s="21" t="s">
        <v>596</v>
      </c>
      <c r="H74" s="44" t="s">
        <v>8</v>
      </c>
      <c r="R74" s="47"/>
      <c r="S74" s="25"/>
    </row>
    <row r="75" spans="1:19" s="24" customFormat="1" ht="15" x14ac:dyDescent="0.25">
      <c r="A75" s="125" t="s">
        <v>511</v>
      </c>
      <c r="B75" s="125"/>
      <c r="C75" s="125"/>
      <c r="D75" s="125"/>
      <c r="E75" s="125"/>
      <c r="F75" s="125"/>
      <c r="R75" s="47"/>
      <c r="S75" s="25" t="s">
        <v>511</v>
      </c>
    </row>
    <row r="76" spans="1:19" s="24" customFormat="1" ht="33.75" x14ac:dyDescent="0.25">
      <c r="A76" s="35">
        <f>IF(H76&lt;&gt;"",COUNTA(H$1:H76),"")</f>
        <v>50</v>
      </c>
      <c r="B76" s="36" t="s">
        <v>512</v>
      </c>
      <c r="C76" s="21" t="s">
        <v>63</v>
      </c>
      <c r="D76" s="37" t="s">
        <v>62</v>
      </c>
      <c r="E76" s="38">
        <v>24.231000000000002</v>
      </c>
      <c r="F76" s="21"/>
      <c r="H76" s="44" t="s">
        <v>8</v>
      </c>
      <c r="R76" s="47"/>
      <c r="S76" s="25"/>
    </row>
    <row r="77" spans="1:19" s="24" customFormat="1" ht="22.5" x14ac:dyDescent="0.25">
      <c r="A77" s="35">
        <f>IF(H77&lt;&gt;"",COUNTA(H$1:H77),"")</f>
        <v>51</v>
      </c>
      <c r="B77" s="36" t="s">
        <v>513</v>
      </c>
      <c r="C77" s="21" t="s">
        <v>64</v>
      </c>
      <c r="D77" s="37" t="s">
        <v>62</v>
      </c>
      <c r="E77" s="38">
        <v>24.231000000000002</v>
      </c>
      <c r="F77" s="21"/>
      <c r="H77" s="44" t="s">
        <v>8</v>
      </c>
      <c r="R77" s="47"/>
      <c r="S77" s="25"/>
    </row>
    <row r="78" spans="1:19" s="24" customFormat="1" ht="15" x14ac:dyDescent="0.25">
      <c r="A78" s="125" t="s">
        <v>514</v>
      </c>
      <c r="B78" s="125"/>
      <c r="C78" s="125"/>
      <c r="D78" s="125"/>
      <c r="E78" s="125"/>
      <c r="F78" s="125"/>
      <c r="R78" s="47"/>
      <c r="S78" s="25" t="s">
        <v>514</v>
      </c>
    </row>
    <row r="79" spans="1:19" s="24" customFormat="1" ht="22.5" x14ac:dyDescent="0.25">
      <c r="A79" s="35">
        <f>IF(H79&lt;&gt;"",COUNTA(H$1:H79),"")</f>
        <v>52</v>
      </c>
      <c r="B79" s="36" t="s">
        <v>598</v>
      </c>
      <c r="C79" s="21" t="s">
        <v>514</v>
      </c>
      <c r="D79" s="37" t="s">
        <v>65</v>
      </c>
      <c r="E79" s="51">
        <v>9.6000000000000002E-2</v>
      </c>
      <c r="F79" s="21" t="s">
        <v>444</v>
      </c>
      <c r="H79" s="44" t="s">
        <v>8</v>
      </c>
      <c r="R79" s="47"/>
      <c r="S79" s="25"/>
    </row>
    <row r="80" spans="1:19" s="24" customFormat="1" ht="15" x14ac:dyDescent="0.25">
      <c r="A80" s="124" t="s">
        <v>515</v>
      </c>
      <c r="B80" s="124"/>
      <c r="C80" s="124"/>
      <c r="D80" s="124"/>
      <c r="E80" s="124"/>
      <c r="F80" s="124"/>
      <c r="R80" s="47" t="s">
        <v>515</v>
      </c>
      <c r="S80" s="25"/>
    </row>
    <row r="81" spans="1:19" s="24" customFormat="1" ht="56.25" x14ac:dyDescent="0.25">
      <c r="A81" s="35">
        <f>IF(H81&lt;&gt;"",COUNTA(H$1:H81),"")</f>
        <v>53</v>
      </c>
      <c r="B81" s="36" t="s">
        <v>599</v>
      </c>
      <c r="C81" s="21" t="s">
        <v>516</v>
      </c>
      <c r="D81" s="37" t="s">
        <v>59</v>
      </c>
      <c r="E81" s="38">
        <v>88</v>
      </c>
      <c r="F81" s="21" t="s">
        <v>600</v>
      </c>
      <c r="H81" s="44" t="s">
        <v>8</v>
      </c>
      <c r="R81" s="47"/>
      <c r="S81" s="25"/>
    </row>
    <row r="82" spans="1:19" s="24" customFormat="1" ht="15" x14ac:dyDescent="0.25">
      <c r="A82" s="124" t="s">
        <v>517</v>
      </c>
      <c r="B82" s="124"/>
      <c r="C82" s="124"/>
      <c r="D82" s="124"/>
      <c r="E82" s="124"/>
      <c r="F82" s="124"/>
      <c r="R82" s="47" t="s">
        <v>517</v>
      </c>
      <c r="S82" s="25"/>
    </row>
    <row r="83" spans="1:19" s="24" customFormat="1" ht="45" x14ac:dyDescent="0.25">
      <c r="A83" s="35">
        <f>IF(H83&lt;&gt;"",COUNTA(H$1:H83),"")</f>
        <v>54</v>
      </c>
      <c r="B83" s="36" t="s">
        <v>518</v>
      </c>
      <c r="C83" s="21" t="s">
        <v>519</v>
      </c>
      <c r="D83" s="37" t="s">
        <v>62</v>
      </c>
      <c r="E83" s="38">
        <v>28</v>
      </c>
      <c r="F83" s="21"/>
      <c r="H83" s="44" t="s">
        <v>8</v>
      </c>
      <c r="R83" s="47"/>
      <c r="S83" s="25"/>
    </row>
    <row r="84" spans="1:19" s="24" customFormat="1" ht="15" x14ac:dyDescent="0.25">
      <c r="A84" s="124" t="s">
        <v>601</v>
      </c>
      <c r="B84" s="124"/>
      <c r="C84" s="124"/>
      <c r="D84" s="124"/>
      <c r="E84" s="124"/>
      <c r="F84" s="124"/>
      <c r="R84" s="47" t="s">
        <v>520</v>
      </c>
      <c r="S84" s="25"/>
    </row>
    <row r="85" spans="1:19" s="24" customFormat="1" ht="15" x14ac:dyDescent="0.25">
      <c r="A85" s="125" t="s">
        <v>521</v>
      </c>
      <c r="B85" s="125"/>
      <c r="C85" s="125"/>
      <c r="D85" s="125"/>
      <c r="E85" s="125"/>
      <c r="F85" s="125"/>
      <c r="R85" s="47"/>
      <c r="S85" s="25" t="s">
        <v>521</v>
      </c>
    </row>
    <row r="86" spans="1:19" s="24" customFormat="1" ht="101.25" x14ac:dyDescent="0.25">
      <c r="A86" s="35">
        <f>IF(H86&lt;&gt;"",COUNTA(H$1:H86),"")</f>
        <v>55</v>
      </c>
      <c r="B86" s="36" t="s">
        <v>603</v>
      </c>
      <c r="C86" s="21" t="s">
        <v>522</v>
      </c>
      <c r="D86" s="37" t="s">
        <v>59</v>
      </c>
      <c r="E86" s="40">
        <v>172</v>
      </c>
      <c r="F86" s="21" t="s">
        <v>602</v>
      </c>
      <c r="H86" s="44" t="s">
        <v>8</v>
      </c>
      <c r="R86" s="47"/>
      <c r="S86" s="25"/>
    </row>
    <row r="87" spans="1:19" s="24" customFormat="1" ht="45" x14ac:dyDescent="0.25">
      <c r="A87" s="35">
        <f>IF(H87&lt;&gt;"",COUNTA(H$1:H87),"")</f>
        <v>56</v>
      </c>
      <c r="B87" s="36" t="s">
        <v>605</v>
      </c>
      <c r="C87" s="21" t="s">
        <v>523</v>
      </c>
      <c r="D87" s="37" t="s">
        <v>7</v>
      </c>
      <c r="E87" s="40">
        <v>15</v>
      </c>
      <c r="F87" s="21" t="s">
        <v>604</v>
      </c>
      <c r="H87" s="44" t="s">
        <v>8</v>
      </c>
      <c r="R87" s="47"/>
      <c r="S87" s="25"/>
    </row>
    <row r="88" spans="1:19" s="24" customFormat="1" ht="56.25" x14ac:dyDescent="0.25">
      <c r="A88" s="35">
        <f>IF(H88&lt;&gt;"",COUNTA(H$1:H88),"")</f>
        <v>57</v>
      </c>
      <c r="B88" s="36" t="s">
        <v>607</v>
      </c>
      <c r="C88" s="21" t="s">
        <v>524</v>
      </c>
      <c r="D88" s="37" t="s">
        <v>7</v>
      </c>
      <c r="E88" s="40">
        <v>15</v>
      </c>
      <c r="F88" s="21" t="s">
        <v>606</v>
      </c>
      <c r="H88" s="44" t="s">
        <v>8</v>
      </c>
      <c r="R88" s="47"/>
      <c r="S88" s="25"/>
    </row>
    <row r="89" spans="1:19" s="24" customFormat="1" ht="101.25" x14ac:dyDescent="0.25">
      <c r="A89" s="35">
        <f>IF(H89&lt;&gt;"",COUNTA(H$1:H89),"")</f>
        <v>58</v>
      </c>
      <c r="B89" s="36" t="s">
        <v>609</v>
      </c>
      <c r="C89" s="21" t="s">
        <v>525</v>
      </c>
      <c r="D89" s="37" t="s">
        <v>59</v>
      </c>
      <c r="E89" s="38">
        <v>178.2</v>
      </c>
      <c r="F89" s="21" t="s">
        <v>608</v>
      </c>
      <c r="H89" s="44" t="s">
        <v>8</v>
      </c>
      <c r="R89" s="47"/>
      <c r="S89" s="25"/>
    </row>
    <row r="90" spans="1:19" s="24" customFormat="1" ht="15" x14ac:dyDescent="0.25">
      <c r="A90" s="124" t="s">
        <v>526</v>
      </c>
      <c r="B90" s="124"/>
      <c r="C90" s="124"/>
      <c r="D90" s="124"/>
      <c r="E90" s="124"/>
      <c r="F90" s="124"/>
      <c r="R90" s="47" t="s">
        <v>526</v>
      </c>
      <c r="S90" s="25"/>
    </row>
    <row r="91" spans="1:19" s="24" customFormat="1" ht="15" x14ac:dyDescent="0.25">
      <c r="A91" s="125" t="s">
        <v>527</v>
      </c>
      <c r="B91" s="125"/>
      <c r="C91" s="125"/>
      <c r="D91" s="125"/>
      <c r="E91" s="125"/>
      <c r="F91" s="125"/>
      <c r="R91" s="47"/>
      <c r="S91" s="25" t="s">
        <v>527</v>
      </c>
    </row>
    <row r="92" spans="1:19" s="24" customFormat="1" ht="22.5" x14ac:dyDescent="0.25">
      <c r="A92" s="35">
        <f>IF(H92&lt;&gt;"",COUNTA(H$1:H92),"")</f>
        <v>59</v>
      </c>
      <c r="B92" s="36" t="s">
        <v>610</v>
      </c>
      <c r="C92" s="21" t="s">
        <v>528</v>
      </c>
      <c r="D92" s="37" t="s">
        <v>65</v>
      </c>
      <c r="E92" s="43">
        <v>5.5</v>
      </c>
      <c r="F92" s="21" t="s">
        <v>529</v>
      </c>
      <c r="H92" s="44" t="s">
        <v>8</v>
      </c>
      <c r="R92" s="47"/>
      <c r="S92" s="25"/>
    </row>
    <row r="93" spans="1:19" s="24" customFormat="1" ht="22.5" x14ac:dyDescent="0.25">
      <c r="A93" s="35">
        <f>IF(H93&lt;&gt;"",COUNTA(H$1:H93),"")</f>
        <v>60</v>
      </c>
      <c r="B93" s="36" t="s">
        <v>612</v>
      </c>
      <c r="C93" s="21" t="s">
        <v>530</v>
      </c>
      <c r="D93" s="37" t="s">
        <v>65</v>
      </c>
      <c r="E93" s="43">
        <v>5.5</v>
      </c>
      <c r="F93" s="21" t="s">
        <v>611</v>
      </c>
      <c r="H93" s="44" t="s">
        <v>8</v>
      </c>
      <c r="R93" s="47"/>
      <c r="S93" s="25"/>
    </row>
    <row r="94" spans="1:19" s="24" customFormat="1" ht="33.75" x14ac:dyDescent="0.25">
      <c r="A94" s="35">
        <f>IF(H94&lt;&gt;"",COUNTA(H$1:H94),"")</f>
        <v>61</v>
      </c>
      <c r="B94" s="36" t="s">
        <v>615</v>
      </c>
      <c r="C94" s="21" t="s">
        <v>613</v>
      </c>
      <c r="D94" s="37" t="s">
        <v>65</v>
      </c>
      <c r="E94" s="38">
        <v>5.3</v>
      </c>
      <c r="F94" s="21" t="s">
        <v>614</v>
      </c>
      <c r="H94" s="44" t="s">
        <v>8</v>
      </c>
      <c r="R94" s="47"/>
      <c r="S94" s="25"/>
    </row>
    <row r="95" spans="1:19" s="24" customFormat="1" ht="33.75" x14ac:dyDescent="0.25">
      <c r="A95" s="35">
        <f>IF(H95&lt;&gt;"",COUNTA(H$1:H95),"")</f>
        <v>62</v>
      </c>
      <c r="B95" s="36" t="s">
        <v>617</v>
      </c>
      <c r="C95" s="21" t="s">
        <v>531</v>
      </c>
      <c r="D95" s="37" t="s">
        <v>65</v>
      </c>
      <c r="E95" s="41">
        <v>4.29</v>
      </c>
      <c r="F95" s="21" t="s">
        <v>616</v>
      </c>
      <c r="H95" s="44" t="s">
        <v>8</v>
      </c>
      <c r="R95" s="47"/>
      <c r="S95" s="25"/>
    </row>
    <row r="96" spans="1:19" s="24" customFormat="1" ht="22.5" x14ac:dyDescent="0.25">
      <c r="A96" s="35">
        <f>IF(H96&lt;&gt;"",COUNTA(H$1:H96),"")</f>
        <v>63</v>
      </c>
      <c r="B96" s="36" t="s">
        <v>619</v>
      </c>
      <c r="C96" s="21" t="s">
        <v>618</v>
      </c>
      <c r="D96" s="37" t="s">
        <v>65</v>
      </c>
      <c r="E96" s="38">
        <v>19.02</v>
      </c>
      <c r="F96" s="21" t="s">
        <v>529</v>
      </c>
      <c r="H96" s="44" t="s">
        <v>8</v>
      </c>
      <c r="R96" s="47"/>
      <c r="S96" s="25"/>
    </row>
    <row r="97" spans="1:19" s="24" customFormat="1" ht="33.75" x14ac:dyDescent="0.25">
      <c r="A97" s="35">
        <f>IF(H97&lt;&gt;"",COUNTA(H$1:H97),"")</f>
        <v>64</v>
      </c>
      <c r="B97" s="36" t="s">
        <v>621</v>
      </c>
      <c r="C97" s="21" t="s">
        <v>532</v>
      </c>
      <c r="D97" s="37" t="s">
        <v>65</v>
      </c>
      <c r="E97" s="41">
        <v>9.3800000000000008</v>
      </c>
      <c r="F97" s="21" t="s">
        <v>620</v>
      </c>
      <c r="H97" s="44" t="s">
        <v>8</v>
      </c>
      <c r="R97" s="47"/>
      <c r="S97" s="25"/>
    </row>
    <row r="98" spans="1:19" s="24" customFormat="1" ht="56.25" x14ac:dyDescent="0.25">
      <c r="A98" s="35">
        <f>IF(H98&lt;&gt;"",COUNTA(H$1:H98),"")</f>
        <v>65</v>
      </c>
      <c r="B98" s="36" t="s">
        <v>623</v>
      </c>
      <c r="C98" s="21" t="s">
        <v>445</v>
      </c>
      <c r="D98" s="37" t="s">
        <v>62</v>
      </c>
      <c r="E98" s="38">
        <v>34.82</v>
      </c>
      <c r="F98" s="21" t="s">
        <v>622</v>
      </c>
      <c r="H98" s="44" t="s">
        <v>8</v>
      </c>
      <c r="R98" s="47"/>
      <c r="S98" s="25"/>
    </row>
    <row r="99" spans="1:19" s="24" customFormat="1" ht="15" x14ac:dyDescent="0.25">
      <c r="A99" s="125" t="s">
        <v>534</v>
      </c>
      <c r="B99" s="125"/>
      <c r="C99" s="125"/>
      <c r="D99" s="125"/>
      <c r="E99" s="125"/>
      <c r="F99" s="125"/>
      <c r="R99" s="47"/>
      <c r="S99" s="25" t="s">
        <v>534</v>
      </c>
    </row>
    <row r="100" spans="1:19" s="24" customFormat="1" ht="22.5" x14ac:dyDescent="0.25">
      <c r="A100" s="35">
        <f>IF(H100&lt;&gt;"",COUNTA(H$1:H100),"")</f>
        <v>66</v>
      </c>
      <c r="B100" s="36" t="s">
        <v>624</v>
      </c>
      <c r="C100" s="21" t="s">
        <v>528</v>
      </c>
      <c r="D100" s="37" t="s">
        <v>65</v>
      </c>
      <c r="E100" s="41">
        <v>2.44</v>
      </c>
      <c r="F100" s="21" t="s">
        <v>529</v>
      </c>
      <c r="H100" s="44" t="s">
        <v>8</v>
      </c>
      <c r="R100" s="47"/>
      <c r="S100" s="25"/>
    </row>
    <row r="101" spans="1:19" s="24" customFormat="1" ht="22.5" x14ac:dyDescent="0.25">
      <c r="A101" s="35">
        <f>IF(H101&lt;&gt;"",COUNTA(H$1:H101),"")</f>
        <v>67</v>
      </c>
      <c r="B101" s="36" t="s">
        <v>626</v>
      </c>
      <c r="C101" s="21" t="s">
        <v>530</v>
      </c>
      <c r="D101" s="37" t="s">
        <v>65</v>
      </c>
      <c r="E101" s="41">
        <v>2.44</v>
      </c>
      <c r="F101" s="21" t="s">
        <v>625</v>
      </c>
      <c r="H101" s="44" t="s">
        <v>8</v>
      </c>
      <c r="R101" s="47"/>
      <c r="S101" s="25"/>
    </row>
    <row r="102" spans="1:19" s="24" customFormat="1" ht="33.75" x14ac:dyDescent="0.25">
      <c r="A102" s="35">
        <f>IF(H102&lt;&gt;"",COUNTA(H$1:H102),"")</f>
        <v>68</v>
      </c>
      <c r="B102" s="36" t="s">
        <v>627</v>
      </c>
      <c r="C102" s="21" t="s">
        <v>613</v>
      </c>
      <c r="D102" s="37" t="s">
        <v>65</v>
      </c>
      <c r="E102" s="38">
        <v>0.73</v>
      </c>
      <c r="F102" s="21" t="s">
        <v>614</v>
      </c>
      <c r="H102" s="44" t="s">
        <v>8</v>
      </c>
      <c r="R102" s="47"/>
      <c r="S102" s="25"/>
    </row>
    <row r="103" spans="1:19" s="24" customFormat="1" ht="33.75" x14ac:dyDescent="0.25">
      <c r="A103" s="35">
        <f>IF(H103&lt;&gt;"",COUNTA(H$1:H103),"")</f>
        <v>69</v>
      </c>
      <c r="B103" s="36" t="s">
        <v>628</v>
      </c>
      <c r="C103" s="21" t="s">
        <v>531</v>
      </c>
      <c r="D103" s="37" t="s">
        <v>65</v>
      </c>
      <c r="E103" s="43">
        <v>0.4</v>
      </c>
      <c r="F103" s="21" t="s">
        <v>616</v>
      </c>
      <c r="H103" s="44" t="s">
        <v>8</v>
      </c>
      <c r="R103" s="47"/>
      <c r="S103" s="25"/>
    </row>
    <row r="104" spans="1:19" s="24" customFormat="1" ht="22.5" x14ac:dyDescent="0.25">
      <c r="A104" s="35">
        <f>IF(H104&lt;&gt;"",COUNTA(H$1:H104),"")</f>
        <v>70</v>
      </c>
      <c r="B104" s="36" t="s">
        <v>629</v>
      </c>
      <c r="C104" s="21" t="s">
        <v>618</v>
      </c>
      <c r="D104" s="37" t="s">
        <v>65</v>
      </c>
      <c r="E104" s="38">
        <v>1.1000000000000001</v>
      </c>
      <c r="F104" s="21" t="s">
        <v>529</v>
      </c>
      <c r="H104" s="44" t="s">
        <v>8</v>
      </c>
      <c r="R104" s="47"/>
      <c r="S104" s="25"/>
    </row>
    <row r="105" spans="1:19" s="24" customFormat="1" ht="33.75" x14ac:dyDescent="0.25">
      <c r="A105" s="35">
        <f>IF(H105&lt;&gt;"",COUNTA(H$1:H105),"")</f>
        <v>71</v>
      </c>
      <c r="B105" s="36" t="s">
        <v>630</v>
      </c>
      <c r="C105" s="21" t="s">
        <v>532</v>
      </c>
      <c r="D105" s="37" t="s">
        <v>65</v>
      </c>
      <c r="E105" s="41">
        <v>0.41</v>
      </c>
      <c r="F105" s="21" t="s">
        <v>620</v>
      </c>
      <c r="H105" s="44" t="s">
        <v>8</v>
      </c>
      <c r="R105" s="47"/>
      <c r="S105" s="25"/>
    </row>
    <row r="106" spans="1:19" s="24" customFormat="1" ht="56.25" x14ac:dyDescent="0.25">
      <c r="A106" s="35">
        <f>IF(H106&lt;&gt;"",COUNTA(H$1:H106),"")</f>
        <v>72</v>
      </c>
      <c r="B106" s="36" t="s">
        <v>631</v>
      </c>
      <c r="C106" s="21" t="s">
        <v>445</v>
      </c>
      <c r="D106" s="37" t="s">
        <v>62</v>
      </c>
      <c r="E106" s="38">
        <v>7.47</v>
      </c>
      <c r="F106" s="21" t="s">
        <v>622</v>
      </c>
      <c r="H106" s="44" t="s">
        <v>8</v>
      </c>
      <c r="R106" s="47"/>
      <c r="S106" s="25"/>
    </row>
    <row r="107" spans="1:19" s="24" customFormat="1" ht="15" x14ac:dyDescent="0.25">
      <c r="A107" s="125" t="s">
        <v>535</v>
      </c>
      <c r="B107" s="125"/>
      <c r="C107" s="125"/>
      <c r="D107" s="125"/>
      <c r="E107" s="125"/>
      <c r="F107" s="125"/>
      <c r="R107" s="47"/>
      <c r="S107" s="25" t="s">
        <v>535</v>
      </c>
    </row>
    <row r="108" spans="1:19" s="24" customFormat="1" ht="45" x14ac:dyDescent="0.25">
      <c r="A108" s="35">
        <f>IF(H108&lt;&gt;"",COUNTA(H$1:H108),"")</f>
        <v>73</v>
      </c>
      <c r="B108" s="36" t="s">
        <v>633</v>
      </c>
      <c r="C108" s="21" t="s">
        <v>632</v>
      </c>
      <c r="D108" s="37" t="s">
        <v>536</v>
      </c>
      <c r="E108" s="38">
        <v>7</v>
      </c>
      <c r="F108" s="21"/>
      <c r="H108" s="44" t="s">
        <v>8</v>
      </c>
      <c r="R108" s="47"/>
      <c r="S108" s="25"/>
    </row>
    <row r="109" spans="1:19" s="24" customFormat="1" ht="56.25" x14ac:dyDescent="0.25">
      <c r="A109" s="35">
        <f>IF(H109&lt;&gt;"",COUNTA(H$1:H109),"")</f>
        <v>74</v>
      </c>
      <c r="B109" s="36" t="s">
        <v>635</v>
      </c>
      <c r="C109" s="21" t="s">
        <v>537</v>
      </c>
      <c r="D109" s="37" t="s">
        <v>60</v>
      </c>
      <c r="E109" s="39">
        <v>3.2039999999999999E-2</v>
      </c>
      <c r="F109" s="21" t="s">
        <v>634</v>
      </c>
      <c r="H109" s="44" t="s">
        <v>8</v>
      </c>
      <c r="R109" s="47"/>
      <c r="S109" s="25"/>
    </row>
    <row r="110" spans="1:19" s="24" customFormat="1" ht="15" x14ac:dyDescent="0.25">
      <c r="A110" s="125" t="s">
        <v>538</v>
      </c>
      <c r="B110" s="125"/>
      <c r="C110" s="125"/>
      <c r="D110" s="125"/>
      <c r="E110" s="125"/>
      <c r="F110" s="125"/>
      <c r="R110" s="47"/>
      <c r="S110" s="25" t="s">
        <v>538</v>
      </c>
    </row>
    <row r="111" spans="1:19" s="24" customFormat="1" ht="33.75" x14ac:dyDescent="0.25">
      <c r="A111" s="35">
        <f>IF(H111&lt;&gt;"",COUNTA(H$1:H111),"")</f>
        <v>75</v>
      </c>
      <c r="B111" s="36" t="s">
        <v>539</v>
      </c>
      <c r="C111" s="21" t="s">
        <v>540</v>
      </c>
      <c r="D111" s="37" t="s">
        <v>65</v>
      </c>
      <c r="E111" s="38">
        <v>0.19583999999999999</v>
      </c>
      <c r="F111" s="21"/>
      <c r="H111" s="44" t="s">
        <v>8</v>
      </c>
      <c r="R111" s="47"/>
      <c r="S111" s="25"/>
    </row>
    <row r="112" spans="1:19" s="24" customFormat="1" ht="22.5" x14ac:dyDescent="0.25">
      <c r="A112" s="35">
        <f>IF(H112&lt;&gt;"",COUNTA(H$1:H112),"")</f>
        <v>76</v>
      </c>
      <c r="B112" s="36" t="s">
        <v>636</v>
      </c>
      <c r="C112" s="21" t="s">
        <v>530</v>
      </c>
      <c r="D112" s="37" t="s">
        <v>65</v>
      </c>
      <c r="E112" s="41">
        <v>0.06</v>
      </c>
      <c r="F112" s="21" t="s">
        <v>541</v>
      </c>
      <c r="H112" s="44" t="s">
        <v>8</v>
      </c>
      <c r="R112" s="47"/>
      <c r="S112" s="25"/>
    </row>
    <row r="113" spans="1:19" s="24" customFormat="1" ht="33.75" x14ac:dyDescent="0.25">
      <c r="A113" s="35">
        <f>IF(H113&lt;&gt;"",COUNTA(H$1:H113),"")</f>
        <v>77</v>
      </c>
      <c r="B113" s="36" t="s">
        <v>542</v>
      </c>
      <c r="C113" s="21" t="s">
        <v>443</v>
      </c>
      <c r="D113" s="37" t="s">
        <v>62</v>
      </c>
      <c r="E113" s="38">
        <v>2.4300000000000002</v>
      </c>
      <c r="F113" s="21"/>
      <c r="H113" s="44" t="s">
        <v>8</v>
      </c>
      <c r="R113" s="47"/>
      <c r="S113" s="25"/>
    </row>
    <row r="114" spans="1:19" s="24" customFormat="1" ht="22.5" x14ac:dyDescent="0.25">
      <c r="A114" s="35">
        <f>IF(H114&lt;&gt;"",COUNTA(H$1:H114),"")</f>
        <v>78</v>
      </c>
      <c r="B114" s="36" t="s">
        <v>638</v>
      </c>
      <c r="C114" s="21" t="s">
        <v>543</v>
      </c>
      <c r="D114" s="37" t="s">
        <v>65</v>
      </c>
      <c r="E114" s="38">
        <v>0.2</v>
      </c>
      <c r="F114" s="21" t="s">
        <v>637</v>
      </c>
      <c r="H114" s="44" t="s">
        <v>8</v>
      </c>
      <c r="R114" s="47"/>
      <c r="S114" s="25"/>
    </row>
    <row r="115" spans="1:19" s="24" customFormat="1" ht="78.75" x14ac:dyDescent="0.25">
      <c r="A115" s="35">
        <f>IF(H115&lt;&gt;"",COUNTA(H$1:H115),"")</f>
        <v>79</v>
      </c>
      <c r="B115" s="36" t="s">
        <v>640</v>
      </c>
      <c r="C115" s="21" t="s">
        <v>145</v>
      </c>
      <c r="D115" s="37" t="s">
        <v>60</v>
      </c>
      <c r="E115" s="39">
        <v>1.1228800000000001</v>
      </c>
      <c r="F115" s="21" t="s">
        <v>639</v>
      </c>
      <c r="H115" s="44" t="s">
        <v>8</v>
      </c>
      <c r="R115" s="47"/>
      <c r="S115" s="25"/>
    </row>
    <row r="116" spans="1:19" s="24" customFormat="1" ht="15" x14ac:dyDescent="0.25">
      <c r="A116" s="124" t="s">
        <v>544</v>
      </c>
      <c r="B116" s="124"/>
      <c r="C116" s="124"/>
      <c r="D116" s="124"/>
      <c r="E116" s="124"/>
      <c r="F116" s="124"/>
      <c r="R116" s="47" t="s">
        <v>544</v>
      </c>
      <c r="S116" s="25"/>
    </row>
    <row r="117" spans="1:19" s="24" customFormat="1" ht="22.5" x14ac:dyDescent="0.25">
      <c r="A117" s="35">
        <f>IF(H117&lt;&gt;"",COUNTA(H$1:H117),"")</f>
        <v>80</v>
      </c>
      <c r="B117" s="36" t="s">
        <v>641</v>
      </c>
      <c r="C117" s="21" t="s">
        <v>545</v>
      </c>
      <c r="D117" s="37" t="s">
        <v>62</v>
      </c>
      <c r="E117" s="38">
        <v>143.9</v>
      </c>
      <c r="F117" s="21" t="s">
        <v>546</v>
      </c>
      <c r="H117" s="44" t="s">
        <v>8</v>
      </c>
      <c r="R117" s="47"/>
      <c r="S117" s="25"/>
    </row>
    <row r="118" spans="1:19" s="24" customFormat="1" ht="22.5" x14ac:dyDescent="0.25">
      <c r="A118" s="35">
        <f>IF(H118&lt;&gt;"",COUNTA(H$1:H118),"")</f>
        <v>81</v>
      </c>
      <c r="B118" s="36" t="s">
        <v>642</v>
      </c>
      <c r="C118" s="21" t="s">
        <v>547</v>
      </c>
      <c r="D118" s="37" t="s">
        <v>65</v>
      </c>
      <c r="E118" s="43">
        <v>7.2</v>
      </c>
      <c r="F118" s="21" t="s">
        <v>533</v>
      </c>
      <c r="H118" s="44" t="s">
        <v>8</v>
      </c>
      <c r="R118" s="47"/>
      <c r="S118" s="25"/>
    </row>
    <row r="119" spans="1:19" s="24" customFormat="1" ht="15" x14ac:dyDescent="0.25">
      <c r="A119" s="124" t="s">
        <v>548</v>
      </c>
      <c r="B119" s="124"/>
      <c r="C119" s="124"/>
      <c r="D119" s="124"/>
      <c r="E119" s="124"/>
      <c r="F119" s="124"/>
      <c r="R119" s="47" t="s">
        <v>548</v>
      </c>
      <c r="S119" s="25"/>
    </row>
    <row r="120" spans="1:19" s="24" customFormat="1" ht="22.5" x14ac:dyDescent="0.25">
      <c r="A120" s="35">
        <f>IF(H120&lt;&gt;"",COUNTA(H$1:H120),"")</f>
        <v>82</v>
      </c>
      <c r="B120" s="36" t="s">
        <v>549</v>
      </c>
      <c r="C120" s="21" t="s">
        <v>550</v>
      </c>
      <c r="D120" s="37" t="s">
        <v>62</v>
      </c>
      <c r="E120" s="38">
        <v>220.6</v>
      </c>
      <c r="F120" s="21"/>
      <c r="H120" s="44" t="s">
        <v>8</v>
      </c>
      <c r="R120" s="47"/>
      <c r="S120" s="25"/>
    </row>
    <row r="121" spans="1:19" s="24" customFormat="1" ht="90" x14ac:dyDescent="0.25">
      <c r="A121" s="35">
        <f>IF(H121&lt;&gt;"",COUNTA(H$1:H121),"")</f>
        <v>83</v>
      </c>
      <c r="B121" s="36" t="s">
        <v>644</v>
      </c>
      <c r="C121" s="21" t="s">
        <v>551</v>
      </c>
      <c r="D121" s="37" t="s">
        <v>62</v>
      </c>
      <c r="E121" s="38">
        <v>373.5</v>
      </c>
      <c r="F121" s="21" t="s">
        <v>643</v>
      </c>
      <c r="H121" s="44" t="s">
        <v>8</v>
      </c>
      <c r="R121" s="47"/>
      <c r="S121" s="25"/>
    </row>
    <row r="122" spans="1:19" s="24" customFormat="1" ht="22.5" x14ac:dyDescent="0.25">
      <c r="A122" s="35">
        <f>IF(H122&lt;&gt;"",COUNTA(H$1:H122),"")</f>
        <v>84</v>
      </c>
      <c r="B122" s="36" t="s">
        <v>645</v>
      </c>
      <c r="C122" s="21" t="s">
        <v>528</v>
      </c>
      <c r="D122" s="37" t="s">
        <v>65</v>
      </c>
      <c r="E122" s="43">
        <v>49.8</v>
      </c>
      <c r="F122" s="21" t="s">
        <v>529</v>
      </c>
      <c r="H122" s="44" t="s">
        <v>8</v>
      </c>
      <c r="R122" s="47"/>
      <c r="S122" s="25"/>
    </row>
    <row r="123" spans="1:19" s="24" customFormat="1" ht="33.75" x14ac:dyDescent="0.25">
      <c r="A123" s="35">
        <f>IF(H123&lt;&gt;"",COUNTA(H$1:H123),"")</f>
        <v>85</v>
      </c>
      <c r="B123" s="36" t="s">
        <v>647</v>
      </c>
      <c r="C123" s="21" t="s">
        <v>646</v>
      </c>
      <c r="D123" s="37" t="s">
        <v>62</v>
      </c>
      <c r="E123" s="38">
        <v>290.5</v>
      </c>
      <c r="F123" s="21" t="s">
        <v>552</v>
      </c>
      <c r="H123" s="44" t="s">
        <v>8</v>
      </c>
      <c r="R123" s="47"/>
      <c r="S123" s="25"/>
    </row>
    <row r="124" spans="1:19" s="24" customFormat="1" ht="33.75" x14ac:dyDescent="0.25">
      <c r="A124" s="35">
        <f>IF(H124&lt;&gt;"",COUNTA(H$1:H124),"")</f>
        <v>86</v>
      </c>
      <c r="B124" s="36" t="s">
        <v>649</v>
      </c>
      <c r="C124" s="21" t="s">
        <v>648</v>
      </c>
      <c r="D124" s="37" t="s">
        <v>62</v>
      </c>
      <c r="E124" s="38">
        <v>249</v>
      </c>
      <c r="F124" s="21" t="s">
        <v>625</v>
      </c>
      <c r="H124" s="44" t="s">
        <v>8</v>
      </c>
      <c r="R124" s="47"/>
      <c r="S124" s="25"/>
    </row>
    <row r="125" spans="1:19" s="24" customFormat="1" ht="45" x14ac:dyDescent="0.25">
      <c r="A125" s="35">
        <f>IF(H125&lt;&gt;"",COUNTA(H$1:H125),"")</f>
        <v>87</v>
      </c>
      <c r="B125" s="36" t="s">
        <v>651</v>
      </c>
      <c r="C125" s="21" t="s">
        <v>650</v>
      </c>
      <c r="D125" s="37" t="s">
        <v>62</v>
      </c>
      <c r="E125" s="38">
        <v>249</v>
      </c>
      <c r="F125" s="21" t="s">
        <v>553</v>
      </c>
      <c r="H125" s="44" t="s">
        <v>8</v>
      </c>
      <c r="R125" s="47"/>
      <c r="S125" s="25"/>
    </row>
    <row r="126" spans="1:19" s="24" customFormat="1" ht="22.5" x14ac:dyDescent="0.25">
      <c r="A126" s="35">
        <f>IF(H126&lt;&gt;"",COUNTA(H$1:H126),"")</f>
        <v>88</v>
      </c>
      <c r="B126" s="36" t="s">
        <v>652</v>
      </c>
      <c r="C126" s="21" t="s">
        <v>554</v>
      </c>
      <c r="D126" s="37" t="s">
        <v>59</v>
      </c>
      <c r="E126" s="38">
        <v>94</v>
      </c>
      <c r="F126" s="21" t="s">
        <v>555</v>
      </c>
      <c r="H126" s="44" t="s">
        <v>8</v>
      </c>
      <c r="R126" s="47"/>
      <c r="S126" s="25"/>
    </row>
    <row r="127" spans="1:19" ht="11.25" customHeight="1" x14ac:dyDescent="0.2">
      <c r="A127" s="27"/>
      <c r="B127" s="28"/>
      <c r="C127" s="28"/>
      <c r="D127" s="28"/>
      <c r="E127" s="28"/>
      <c r="F127" s="28"/>
    </row>
    <row r="128" spans="1:19" s="24" customFormat="1" ht="15" x14ac:dyDescent="0.25">
      <c r="A128" s="30"/>
      <c r="B128" s="50"/>
      <c r="C128" s="30"/>
      <c r="D128" s="50"/>
      <c r="E128" s="30"/>
      <c r="F128" s="50"/>
    </row>
    <row r="129" spans="1:6" ht="11.25" customHeight="1" x14ac:dyDescent="0.2">
      <c r="A129" s="27"/>
      <c r="B129" s="28"/>
      <c r="C129" s="28"/>
      <c r="D129" s="28"/>
      <c r="E129" s="28"/>
      <c r="F129" s="28"/>
    </row>
  </sheetData>
  <mergeCells count="34">
    <mergeCell ref="E1:F1"/>
    <mergeCell ref="A3:F3"/>
    <mergeCell ref="A4:F4"/>
    <mergeCell ref="A116:F116"/>
    <mergeCell ref="A119:F119"/>
    <mergeCell ref="A85:F85"/>
    <mergeCell ref="A90:F90"/>
    <mergeCell ref="A91:F91"/>
    <mergeCell ref="A99:F99"/>
    <mergeCell ref="A107:F107"/>
    <mergeCell ref="A110:F110"/>
    <mergeCell ref="A75:F75"/>
    <mergeCell ref="A78:F78"/>
    <mergeCell ref="A80:F80"/>
    <mergeCell ref="A82:F82"/>
    <mergeCell ref="A84:F84"/>
    <mergeCell ref="A73:F73"/>
    <mergeCell ref="A31:F31"/>
    <mergeCell ref="A36:F36"/>
    <mergeCell ref="A38:F38"/>
    <mergeCell ref="A39:F39"/>
    <mergeCell ref="A44:F44"/>
    <mergeCell ref="A50:F50"/>
    <mergeCell ref="A51:F51"/>
    <mergeCell ref="A57:F57"/>
    <mergeCell ref="A70:F70"/>
    <mergeCell ref="A71:F71"/>
    <mergeCell ref="A18:F18"/>
    <mergeCell ref="A20:F20"/>
    <mergeCell ref="A24:F24"/>
    <mergeCell ref="A26:F26"/>
    <mergeCell ref="A8:F8"/>
    <mergeCell ref="A9:F9"/>
    <mergeCell ref="A13:F13"/>
  </mergeCells>
  <printOptions horizontalCentered="1"/>
  <pageMargins left="0.78740155696868896" right="0.31496062874794001" top="0.31496062874794001" bottom="0.31496062874794001" header="0.19685038924217199" footer="0.19685038924217199"/>
  <pageSetup paperSize="9" scale="91"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3073" r:id="rId4">
          <objectPr defaultSize="0" r:id="rId5">
            <anchor moveWithCells="1" sizeWithCells="1">
              <from>
                <xdr:col>0</xdr:col>
                <xdr:colOff>0</xdr:colOff>
                <xdr:row>130</xdr:row>
                <xdr:rowOff>57150</xdr:rowOff>
              </from>
              <to>
                <xdr:col>5</xdr:col>
                <xdr:colOff>2438400</xdr:colOff>
                <xdr:row>141</xdr:row>
                <xdr:rowOff>0</xdr:rowOff>
              </to>
            </anchor>
          </objectPr>
        </oleObject>
      </mc:Choice>
      <mc:Fallback>
        <oleObject progId="Word.Document.12" shapeId="3073"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pageSetUpPr fitToPage="1"/>
  </sheetPr>
  <dimension ref="A1:AF75"/>
  <sheetViews>
    <sheetView view="pageBreakPreview" zoomScale="106" zoomScaleNormal="154" zoomScaleSheetLayoutView="106" workbookViewId="0">
      <selection activeCell="O9" sqref="O9"/>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7.2851562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20" width="107.85546875" style="45" hidden="1" customWidth="1"/>
    <col min="21" max="23" width="49.42578125" style="46" hidden="1" customWidth="1"/>
    <col min="24" max="26" width="47" style="49" hidden="1" customWidth="1"/>
    <col min="27" max="29" width="49.42578125" style="46" hidden="1" customWidth="1"/>
    <col min="30" max="32" width="47" style="49" hidden="1" customWidth="1"/>
    <col min="33" max="16384" width="9.140625" style="44"/>
  </cols>
  <sheetData>
    <row r="1" spans="1:20" ht="25.5" customHeight="1" x14ac:dyDescent="0.25">
      <c r="A1" s="54"/>
      <c r="B1" s="54"/>
      <c r="C1" s="54"/>
      <c r="D1" s="54"/>
      <c r="E1" s="119" t="s">
        <v>702</v>
      </c>
      <c r="F1" s="120"/>
    </row>
    <row r="2" spans="1:20" ht="11.25" customHeight="1" x14ac:dyDescent="0.2">
      <c r="A2" s="55"/>
      <c r="B2" s="55"/>
      <c r="C2" s="55"/>
      <c r="D2" s="55"/>
      <c r="E2" s="55"/>
      <c r="F2" s="55"/>
    </row>
    <row r="3" spans="1:20" ht="11.25" customHeight="1" x14ac:dyDescent="0.25">
      <c r="A3" s="121" t="s">
        <v>656</v>
      </c>
      <c r="B3" s="122"/>
      <c r="C3" s="122"/>
      <c r="D3" s="122"/>
      <c r="E3" s="122"/>
      <c r="F3" s="122"/>
    </row>
    <row r="4" spans="1:20" ht="11.25" customHeight="1" x14ac:dyDescent="0.2">
      <c r="A4" s="123" t="s">
        <v>654</v>
      </c>
      <c r="B4" s="123"/>
      <c r="C4" s="123"/>
      <c r="D4" s="123"/>
      <c r="E4" s="123"/>
      <c r="F4" s="123"/>
    </row>
    <row r="5" spans="1:20" s="24" customFormat="1" ht="9.75" customHeight="1" x14ac:dyDescent="0.25">
      <c r="A5" s="29"/>
      <c r="B5" s="30"/>
      <c r="C5" s="30"/>
      <c r="D5" s="30"/>
      <c r="E5" s="30"/>
      <c r="F5" s="30"/>
    </row>
    <row r="6" spans="1:20" s="24" customFormat="1" ht="36" customHeight="1" x14ac:dyDescent="0.25">
      <c r="A6" s="31" t="s">
        <v>0</v>
      </c>
      <c r="B6" s="32" t="s">
        <v>1</v>
      </c>
      <c r="C6" s="32" t="s">
        <v>2</v>
      </c>
      <c r="D6" s="32" t="s">
        <v>3</v>
      </c>
      <c r="E6" s="32" t="s">
        <v>4</v>
      </c>
      <c r="F6" s="32" t="s">
        <v>29</v>
      </c>
    </row>
    <row r="7" spans="1:20" s="24" customFormat="1" ht="15" x14ac:dyDescent="0.25">
      <c r="A7" s="33">
        <v>1</v>
      </c>
      <c r="B7" s="34">
        <v>2</v>
      </c>
      <c r="C7" s="34">
        <v>3</v>
      </c>
      <c r="D7" s="34">
        <v>4</v>
      </c>
      <c r="E7" s="34">
        <v>5</v>
      </c>
      <c r="F7" s="34">
        <v>6</v>
      </c>
    </row>
    <row r="8" spans="1:20" s="24" customFormat="1" ht="15" x14ac:dyDescent="0.25">
      <c r="A8" s="124" t="s">
        <v>662</v>
      </c>
      <c r="B8" s="124"/>
      <c r="C8" s="124"/>
      <c r="D8" s="124"/>
      <c r="E8" s="124"/>
      <c r="F8" s="124"/>
      <c r="R8" s="47" t="s">
        <v>662</v>
      </c>
    </row>
    <row r="9" spans="1:20" s="24" customFormat="1" ht="45" x14ac:dyDescent="0.25">
      <c r="A9" s="35">
        <f>IF(H9&lt;&gt;"",COUNTA(H$1:H9),"")</f>
        <v>1</v>
      </c>
      <c r="B9" s="36" t="s">
        <v>9</v>
      </c>
      <c r="C9" s="21" t="s">
        <v>663</v>
      </c>
      <c r="D9" s="37" t="s">
        <v>59</v>
      </c>
      <c r="E9" s="38">
        <v>480</v>
      </c>
      <c r="F9" s="21"/>
      <c r="H9" s="44" t="s">
        <v>8</v>
      </c>
      <c r="R9" s="47"/>
      <c r="T9" s="25"/>
    </row>
    <row r="10" spans="1:20" s="24" customFormat="1" ht="33.75" x14ac:dyDescent="0.25">
      <c r="A10" s="35">
        <f>IF(H10&lt;&gt;"",COUNTA(H$1:H10),"")</f>
        <v>2</v>
      </c>
      <c r="B10" s="36" t="s">
        <v>664</v>
      </c>
      <c r="C10" s="21" t="s">
        <v>665</v>
      </c>
      <c r="D10" s="37" t="s">
        <v>59</v>
      </c>
      <c r="E10" s="38">
        <v>480</v>
      </c>
      <c r="F10" s="21" t="s">
        <v>666</v>
      </c>
      <c r="H10" s="44" t="s">
        <v>8</v>
      </c>
      <c r="R10" s="47"/>
      <c r="T10" s="25"/>
    </row>
    <row r="11" spans="1:20" s="24" customFormat="1" ht="33.75" x14ac:dyDescent="0.25">
      <c r="A11" s="35">
        <f>IF(H11&lt;&gt;"",COUNTA(H$1:H11),"")</f>
        <v>3</v>
      </c>
      <c r="B11" s="36" t="s">
        <v>122</v>
      </c>
      <c r="C11" s="21" t="s">
        <v>667</v>
      </c>
      <c r="D11" s="37" t="s">
        <v>60</v>
      </c>
      <c r="E11" s="41">
        <v>0.18</v>
      </c>
      <c r="F11" s="21" t="s">
        <v>668</v>
      </c>
      <c r="H11" s="44" t="s">
        <v>8</v>
      </c>
      <c r="R11" s="47"/>
      <c r="T11" s="25"/>
    </row>
    <row r="12" spans="1:20" s="24" customFormat="1" ht="22.5" x14ac:dyDescent="0.25">
      <c r="A12" s="35">
        <f>IF(H12&lt;&gt;"",COUNTA(H$1:H12),"")</f>
        <v>4</v>
      </c>
      <c r="B12" s="36" t="s">
        <v>669</v>
      </c>
      <c r="C12" s="21" t="s">
        <v>670</v>
      </c>
      <c r="D12" s="37" t="s">
        <v>59</v>
      </c>
      <c r="E12" s="38">
        <v>480</v>
      </c>
      <c r="F12" s="21" t="s">
        <v>666</v>
      </c>
      <c r="H12" s="44" t="s">
        <v>8</v>
      </c>
      <c r="R12" s="47"/>
      <c r="T12" s="25"/>
    </row>
    <row r="13" spans="1:20" s="24" customFormat="1" ht="22.5" x14ac:dyDescent="0.25">
      <c r="A13" s="35">
        <f>IF(H13&lt;&gt;"",COUNTA(H$1:H13),"")</f>
        <v>5</v>
      </c>
      <c r="B13" s="36" t="s">
        <v>671</v>
      </c>
      <c r="C13" s="21" t="s">
        <v>672</v>
      </c>
      <c r="D13" s="37" t="s">
        <v>59</v>
      </c>
      <c r="E13" s="38">
        <v>480</v>
      </c>
      <c r="F13" s="21" t="s">
        <v>666</v>
      </c>
      <c r="H13" s="44" t="s">
        <v>8</v>
      </c>
      <c r="R13" s="47"/>
      <c r="T13" s="25"/>
    </row>
    <row r="14" spans="1:20" s="24" customFormat="1" ht="15" x14ac:dyDescent="0.25">
      <c r="A14" s="124" t="s">
        <v>673</v>
      </c>
      <c r="B14" s="124"/>
      <c r="C14" s="124"/>
      <c r="D14" s="124"/>
      <c r="E14" s="124"/>
      <c r="F14" s="124"/>
      <c r="R14" s="47" t="s">
        <v>673</v>
      </c>
      <c r="T14" s="25"/>
    </row>
    <row r="15" spans="1:20" s="24" customFormat="1" ht="22.5" x14ac:dyDescent="0.25">
      <c r="A15" s="35">
        <f>IF(H15&lt;&gt;"",COUNTA(H$1:H15),"")</f>
        <v>6</v>
      </c>
      <c r="B15" s="36" t="s">
        <v>674</v>
      </c>
      <c r="C15" s="21" t="s">
        <v>61</v>
      </c>
      <c r="D15" s="37" t="s">
        <v>60</v>
      </c>
      <c r="E15" s="42">
        <v>0.53639999999999999</v>
      </c>
      <c r="F15" s="21" t="s">
        <v>675</v>
      </c>
      <c r="H15" s="44" t="s">
        <v>8</v>
      </c>
      <c r="R15" s="47"/>
      <c r="T15" s="25"/>
    </row>
    <row r="16" spans="1:20" s="24" customFormat="1" ht="15" x14ac:dyDescent="0.25">
      <c r="A16" s="124" t="s">
        <v>676</v>
      </c>
      <c r="B16" s="124"/>
      <c r="C16" s="124"/>
      <c r="D16" s="124"/>
      <c r="E16" s="124"/>
      <c r="F16" s="124"/>
      <c r="R16" s="47" t="s">
        <v>676</v>
      </c>
      <c r="T16" s="25"/>
    </row>
    <row r="17" spans="1:20" s="24" customFormat="1" ht="45" x14ac:dyDescent="0.25">
      <c r="A17" s="35">
        <f>IF(H17&lt;&gt;"",COUNTA(H$1:H17),"")</f>
        <v>7</v>
      </c>
      <c r="B17" s="36" t="s">
        <v>677</v>
      </c>
      <c r="C17" s="21" t="s">
        <v>678</v>
      </c>
      <c r="D17" s="37" t="s">
        <v>62</v>
      </c>
      <c r="E17" s="40">
        <v>60</v>
      </c>
      <c r="F17" s="21" t="s">
        <v>666</v>
      </c>
      <c r="H17" s="44" t="s">
        <v>8</v>
      </c>
      <c r="R17" s="47"/>
      <c r="T17" s="25"/>
    </row>
    <row r="18" spans="1:20" s="24" customFormat="1" ht="15" x14ac:dyDescent="0.25">
      <c r="A18" s="124" t="s">
        <v>679</v>
      </c>
      <c r="B18" s="124"/>
      <c r="C18" s="124"/>
      <c r="D18" s="124"/>
      <c r="E18" s="124"/>
      <c r="F18" s="124"/>
      <c r="R18" s="47" t="s">
        <v>679</v>
      </c>
      <c r="T18" s="25"/>
    </row>
    <row r="19" spans="1:20" s="24" customFormat="1" ht="45" x14ac:dyDescent="0.25">
      <c r="A19" s="35">
        <f>IF(H19&lt;&gt;"",COUNTA(H$1:H19),"")</f>
        <v>8</v>
      </c>
      <c r="B19" s="36" t="s">
        <v>51</v>
      </c>
      <c r="C19" s="21" t="s">
        <v>680</v>
      </c>
      <c r="D19" s="37" t="s">
        <v>59</v>
      </c>
      <c r="E19" s="38">
        <v>160</v>
      </c>
      <c r="F19" s="21" t="s">
        <v>681</v>
      </c>
      <c r="H19" s="44" t="s">
        <v>8</v>
      </c>
      <c r="R19" s="47"/>
      <c r="T19" s="25"/>
    </row>
    <row r="20" spans="1:20" s="24" customFormat="1" ht="15" x14ac:dyDescent="0.25">
      <c r="A20" s="124" t="s">
        <v>682</v>
      </c>
      <c r="B20" s="124"/>
      <c r="C20" s="124"/>
      <c r="D20" s="124"/>
      <c r="E20" s="124"/>
      <c r="F20" s="124"/>
      <c r="R20" s="47" t="s">
        <v>682</v>
      </c>
      <c r="T20" s="25"/>
    </row>
    <row r="21" spans="1:20" s="24" customFormat="1" ht="33.75" x14ac:dyDescent="0.25">
      <c r="A21" s="35">
        <f>IF(H21&lt;&gt;"",COUNTA(H$1:H21),"")</f>
        <v>9</v>
      </c>
      <c r="B21" s="36" t="s">
        <v>683</v>
      </c>
      <c r="C21" s="21" t="s">
        <v>684</v>
      </c>
      <c r="D21" s="37" t="s">
        <v>62</v>
      </c>
      <c r="E21" s="38">
        <v>176.48</v>
      </c>
      <c r="F21" s="21" t="s">
        <v>685</v>
      </c>
      <c r="H21" s="44" t="s">
        <v>8</v>
      </c>
      <c r="R21" s="47"/>
      <c r="T21" s="25"/>
    </row>
    <row r="22" spans="1:20" s="24" customFormat="1" ht="15" x14ac:dyDescent="0.25">
      <c r="A22" s="124" t="s">
        <v>686</v>
      </c>
      <c r="B22" s="124"/>
      <c r="C22" s="124"/>
      <c r="D22" s="124"/>
      <c r="E22" s="124"/>
      <c r="F22" s="124"/>
      <c r="R22" s="47" t="s">
        <v>686</v>
      </c>
      <c r="T22" s="25"/>
    </row>
    <row r="23" spans="1:20" s="24" customFormat="1" ht="22.5" x14ac:dyDescent="0.25">
      <c r="A23" s="35">
        <f>IF(H23&lt;&gt;"",COUNTA(H$1:H23),"")</f>
        <v>10</v>
      </c>
      <c r="B23" s="36" t="s">
        <v>687</v>
      </c>
      <c r="C23" s="21" t="s">
        <v>688</v>
      </c>
      <c r="D23" s="37" t="s">
        <v>59</v>
      </c>
      <c r="E23" s="40">
        <v>84</v>
      </c>
      <c r="F23" s="21" t="s">
        <v>689</v>
      </c>
      <c r="H23" s="44" t="s">
        <v>8</v>
      </c>
      <c r="R23" s="47"/>
      <c r="T23" s="25"/>
    </row>
    <row r="24" spans="1:20" s="24" customFormat="1" ht="15" x14ac:dyDescent="0.25">
      <c r="A24" s="124" t="s">
        <v>690</v>
      </c>
      <c r="B24" s="124"/>
      <c r="C24" s="124"/>
      <c r="D24" s="124"/>
      <c r="E24" s="124"/>
      <c r="F24" s="124"/>
      <c r="R24" s="47" t="s">
        <v>690</v>
      </c>
      <c r="T24" s="25"/>
    </row>
    <row r="25" spans="1:20" s="24" customFormat="1" ht="33.75" x14ac:dyDescent="0.25">
      <c r="A25" s="35">
        <f>IF(H25&lt;&gt;"",COUNTA(H$1:H25),"")</f>
        <v>11</v>
      </c>
      <c r="B25" s="36" t="s">
        <v>27</v>
      </c>
      <c r="C25" s="21" t="s">
        <v>63</v>
      </c>
      <c r="D25" s="37" t="s">
        <v>62</v>
      </c>
      <c r="E25" s="38">
        <v>84</v>
      </c>
      <c r="F25" s="21"/>
      <c r="H25" s="44" t="s">
        <v>8</v>
      </c>
      <c r="R25" s="47"/>
      <c r="T25" s="25"/>
    </row>
    <row r="26" spans="1:20" s="24" customFormat="1" ht="22.5" x14ac:dyDescent="0.25">
      <c r="A26" s="35">
        <f>IF(H26&lt;&gt;"",COUNTA(H$1:H26),"")</f>
        <v>12</v>
      </c>
      <c r="B26" s="36" t="s">
        <v>691</v>
      </c>
      <c r="C26" s="21" t="s">
        <v>64</v>
      </c>
      <c r="D26" s="37" t="s">
        <v>62</v>
      </c>
      <c r="E26" s="38">
        <v>84</v>
      </c>
      <c r="F26" s="21"/>
      <c r="H26" s="44" t="s">
        <v>8</v>
      </c>
      <c r="R26" s="47"/>
      <c r="T26" s="25"/>
    </row>
    <row r="27" spans="1:20" s="24" customFormat="1" ht="15" x14ac:dyDescent="0.25">
      <c r="A27" s="124" t="s">
        <v>692</v>
      </c>
      <c r="B27" s="124"/>
      <c r="C27" s="124"/>
      <c r="D27" s="124"/>
      <c r="E27" s="124"/>
      <c r="F27" s="124"/>
      <c r="R27" s="47" t="s">
        <v>692</v>
      </c>
      <c r="T27" s="25"/>
    </row>
    <row r="28" spans="1:20" s="24" customFormat="1" ht="56.25" x14ac:dyDescent="0.25">
      <c r="A28" s="35">
        <f>IF(H28&lt;&gt;"",COUNTA(H$1:H28),"")</f>
        <v>13</v>
      </c>
      <c r="B28" s="36" t="s">
        <v>693</v>
      </c>
      <c r="C28" s="21" t="s">
        <v>694</v>
      </c>
      <c r="D28" s="37" t="s">
        <v>62</v>
      </c>
      <c r="E28" s="38">
        <v>22.6</v>
      </c>
      <c r="F28" s="21" t="s">
        <v>695</v>
      </c>
      <c r="H28" s="44" t="s">
        <v>8</v>
      </c>
      <c r="R28" s="47"/>
      <c r="T28" s="25"/>
    </row>
    <row r="29" spans="1:20" s="24" customFormat="1" ht="56.25" x14ac:dyDescent="0.25">
      <c r="A29" s="35">
        <f>IF(H29&lt;&gt;"",COUNTA(H$1:H29),"")</f>
        <v>14</v>
      </c>
      <c r="B29" s="36" t="s">
        <v>696</v>
      </c>
      <c r="C29" s="21" t="s">
        <v>697</v>
      </c>
      <c r="D29" s="37" t="s">
        <v>62</v>
      </c>
      <c r="E29" s="38">
        <v>6.2</v>
      </c>
      <c r="F29" s="21" t="s">
        <v>695</v>
      </c>
      <c r="H29" s="44" t="s">
        <v>8</v>
      </c>
      <c r="R29" s="47"/>
      <c r="T29" s="25"/>
    </row>
    <row r="30" spans="1:20" s="24" customFormat="1" ht="33.75" x14ac:dyDescent="0.25">
      <c r="A30" s="35">
        <f>IF(H30&lt;&gt;"",COUNTA(H$1:H30),"")</f>
        <v>15</v>
      </c>
      <c r="B30" s="36" t="s">
        <v>698</v>
      </c>
      <c r="C30" s="21" t="s">
        <v>699</v>
      </c>
      <c r="D30" s="37" t="s">
        <v>62</v>
      </c>
      <c r="E30" s="38">
        <v>124</v>
      </c>
      <c r="F30" s="21" t="s">
        <v>700</v>
      </c>
      <c r="H30" s="44" t="s">
        <v>8</v>
      </c>
      <c r="R30" s="47"/>
      <c r="T30" s="25"/>
    </row>
    <row r="31" spans="1:20" s="24" customFormat="1" ht="15" x14ac:dyDescent="0.25">
      <c r="A31" s="124" t="s">
        <v>66</v>
      </c>
      <c r="B31" s="124"/>
      <c r="C31" s="124"/>
      <c r="D31" s="124"/>
      <c r="E31" s="124"/>
      <c r="F31" s="124"/>
      <c r="R31" s="47" t="s">
        <v>66</v>
      </c>
      <c r="T31" s="25"/>
    </row>
    <row r="32" spans="1:20" s="24" customFormat="1" ht="15" x14ac:dyDescent="0.25">
      <c r="A32" s="35">
        <f>IF(H32&lt;&gt;"",COUNTA(H$1:H32),"")</f>
        <v>16</v>
      </c>
      <c r="B32" s="36" t="s">
        <v>67</v>
      </c>
      <c r="C32" s="21" t="s">
        <v>68</v>
      </c>
      <c r="D32" s="37" t="s">
        <v>65</v>
      </c>
      <c r="E32" s="41">
        <v>17.07</v>
      </c>
      <c r="F32" s="21"/>
      <c r="H32" s="44" t="s">
        <v>8</v>
      </c>
      <c r="R32" s="47"/>
      <c r="T32" s="25"/>
    </row>
    <row r="33" spans="1:20" s="24" customFormat="1" ht="22.5" x14ac:dyDescent="0.25">
      <c r="A33" s="35">
        <f>IF(H33&lt;&gt;"",COUNTA(H$1:H33),"")</f>
        <v>17</v>
      </c>
      <c r="B33" s="36" t="s">
        <v>69</v>
      </c>
      <c r="C33" s="21" t="s">
        <v>70</v>
      </c>
      <c r="D33" s="37" t="s">
        <v>65</v>
      </c>
      <c r="E33" s="42">
        <v>5.1616999999999997</v>
      </c>
      <c r="F33" s="21"/>
      <c r="H33" s="44" t="s">
        <v>8</v>
      </c>
      <c r="R33" s="47"/>
      <c r="T33" s="25"/>
    </row>
    <row r="34" spans="1:20" s="24" customFormat="1" ht="45" x14ac:dyDescent="0.25">
      <c r="A34" s="35">
        <f>IF(H34&lt;&gt;"",COUNTA(H$1:H34),"")</f>
        <v>18</v>
      </c>
      <c r="B34" s="36" t="s">
        <v>123</v>
      </c>
      <c r="C34" s="21" t="s">
        <v>71</v>
      </c>
      <c r="D34" s="37" t="s">
        <v>62</v>
      </c>
      <c r="E34" s="38">
        <v>747.6</v>
      </c>
      <c r="F34" s="21" t="s">
        <v>72</v>
      </c>
      <c r="H34" s="44" t="s">
        <v>8</v>
      </c>
      <c r="R34" s="47"/>
      <c r="T34" s="25"/>
    </row>
    <row r="35" spans="1:20" s="24" customFormat="1" ht="22.5" x14ac:dyDescent="0.25">
      <c r="A35" s="35">
        <f>IF(H35&lt;&gt;"",COUNTA(H$1:H35),"")</f>
        <v>19</v>
      </c>
      <c r="B35" s="36" t="s">
        <v>73</v>
      </c>
      <c r="C35" s="21" t="s">
        <v>74</v>
      </c>
      <c r="D35" s="37" t="s">
        <v>62</v>
      </c>
      <c r="E35" s="38">
        <v>224.28</v>
      </c>
      <c r="F35" s="21"/>
      <c r="H35" s="44" t="s">
        <v>8</v>
      </c>
      <c r="R35" s="47"/>
      <c r="T35" s="25"/>
    </row>
    <row r="36" spans="1:20" s="24" customFormat="1" ht="22.5" x14ac:dyDescent="0.25">
      <c r="A36" s="35">
        <f>IF(H36&lt;&gt;"",COUNTA(H$1:H36),"")</f>
        <v>20</v>
      </c>
      <c r="B36" s="36" t="s">
        <v>75</v>
      </c>
      <c r="C36" s="21" t="s">
        <v>76</v>
      </c>
      <c r="D36" s="37" t="s">
        <v>62</v>
      </c>
      <c r="E36" s="38">
        <v>523.32000000000005</v>
      </c>
      <c r="F36" s="21"/>
      <c r="H36" s="44" t="s">
        <v>8</v>
      </c>
      <c r="R36" s="47"/>
      <c r="T36" s="25"/>
    </row>
    <row r="37" spans="1:20" s="24" customFormat="1" ht="22.5" x14ac:dyDescent="0.25">
      <c r="A37" s="35">
        <f>IF(H37&lt;&gt;"",COUNTA(H$1:H37),"")</f>
        <v>21</v>
      </c>
      <c r="B37" s="36" t="s">
        <v>77</v>
      </c>
      <c r="C37" s="21" t="s">
        <v>76</v>
      </c>
      <c r="D37" s="37" t="s">
        <v>62</v>
      </c>
      <c r="E37" s="38">
        <v>747.6</v>
      </c>
      <c r="F37" s="21"/>
      <c r="H37" s="44" t="s">
        <v>8</v>
      </c>
      <c r="R37" s="47"/>
      <c r="T37" s="25"/>
    </row>
    <row r="38" spans="1:20" s="24" customFormat="1" ht="251.25" customHeight="1" x14ac:dyDescent="0.25">
      <c r="A38" s="35">
        <f>IF(H38&lt;&gt;"",COUNTA(H$1:H38),"")</f>
        <v>22</v>
      </c>
      <c r="B38" s="36" t="s">
        <v>125</v>
      </c>
      <c r="C38" s="21" t="s">
        <v>78</v>
      </c>
      <c r="D38" s="37" t="s">
        <v>62</v>
      </c>
      <c r="E38" s="38">
        <v>747.6</v>
      </c>
      <c r="F38" s="21" t="s">
        <v>124</v>
      </c>
      <c r="H38" s="44" t="s">
        <v>8</v>
      </c>
      <c r="R38" s="47"/>
      <c r="T38" s="25"/>
    </row>
    <row r="39" spans="1:20" s="24" customFormat="1" ht="33.75" x14ac:dyDescent="0.25">
      <c r="A39" s="35">
        <f>IF(H39&lt;&gt;"",COUNTA(H$1:H39),"")</f>
        <v>23</v>
      </c>
      <c r="B39" s="36" t="s">
        <v>126</v>
      </c>
      <c r="C39" s="21" t="s">
        <v>79</v>
      </c>
      <c r="D39" s="37" t="s">
        <v>7</v>
      </c>
      <c r="E39" s="38">
        <v>124</v>
      </c>
      <c r="F39" s="21" t="s">
        <v>80</v>
      </c>
      <c r="H39" s="44" t="s">
        <v>8</v>
      </c>
      <c r="R39" s="47"/>
      <c r="T39" s="25"/>
    </row>
    <row r="40" spans="1:20" s="24" customFormat="1" ht="90" x14ac:dyDescent="0.25">
      <c r="A40" s="35">
        <f>IF(H40&lt;&gt;"",COUNTA(H$1:H40),"")</f>
        <v>24</v>
      </c>
      <c r="B40" s="36" t="s">
        <v>127</v>
      </c>
      <c r="C40" s="21" t="s">
        <v>81</v>
      </c>
      <c r="D40" s="37" t="s">
        <v>62</v>
      </c>
      <c r="E40" s="38">
        <v>1600.47</v>
      </c>
      <c r="F40" s="21" t="s">
        <v>82</v>
      </c>
      <c r="H40" s="44" t="s">
        <v>8</v>
      </c>
      <c r="R40" s="47"/>
      <c r="T40" s="25"/>
    </row>
    <row r="41" spans="1:20" s="24" customFormat="1" ht="56.25" x14ac:dyDescent="0.25">
      <c r="A41" s="35">
        <f>IF(H41&lt;&gt;"",COUNTA(H$1:H41),"")</f>
        <v>25</v>
      </c>
      <c r="B41" s="36" t="s">
        <v>129</v>
      </c>
      <c r="C41" s="21" t="s">
        <v>83</v>
      </c>
      <c r="D41" s="37" t="s">
        <v>7</v>
      </c>
      <c r="E41" s="40">
        <v>8</v>
      </c>
      <c r="F41" s="21" t="s">
        <v>128</v>
      </c>
      <c r="H41" s="44" t="s">
        <v>8</v>
      </c>
      <c r="R41" s="47"/>
      <c r="T41" s="25"/>
    </row>
    <row r="42" spans="1:20" s="24" customFormat="1" ht="33.75" x14ac:dyDescent="0.25">
      <c r="A42" s="35">
        <f>IF(H42&lt;&gt;"",COUNTA(H$1:H42),"")</f>
        <v>26</v>
      </c>
      <c r="B42" s="36" t="s">
        <v>130</v>
      </c>
      <c r="C42" s="21" t="s">
        <v>84</v>
      </c>
      <c r="D42" s="37" t="s">
        <v>62</v>
      </c>
      <c r="E42" s="38">
        <v>65.599999999999994</v>
      </c>
      <c r="F42" s="21" t="s">
        <v>72</v>
      </c>
      <c r="H42" s="44" t="s">
        <v>8</v>
      </c>
      <c r="R42" s="47"/>
      <c r="T42" s="25"/>
    </row>
    <row r="43" spans="1:20" s="24" customFormat="1" ht="15" x14ac:dyDescent="0.25">
      <c r="A43" s="35">
        <f>IF(H43&lt;&gt;"",COUNTA(H$1:H43),"")</f>
        <v>27</v>
      </c>
      <c r="B43" s="36" t="s">
        <v>131</v>
      </c>
      <c r="C43" s="21" t="s">
        <v>85</v>
      </c>
      <c r="D43" s="37" t="s">
        <v>65</v>
      </c>
      <c r="E43" s="43">
        <v>48.3</v>
      </c>
      <c r="F43" s="21" t="s">
        <v>86</v>
      </c>
      <c r="H43" s="44" t="s">
        <v>8</v>
      </c>
      <c r="R43" s="47"/>
      <c r="T43" s="25"/>
    </row>
    <row r="44" spans="1:20" s="24" customFormat="1" ht="22.5" x14ac:dyDescent="0.25">
      <c r="A44" s="35">
        <f>IF(H44&lt;&gt;"",COUNTA(H$1:H44),"")</f>
        <v>28</v>
      </c>
      <c r="B44" s="36" t="s">
        <v>133</v>
      </c>
      <c r="C44" s="21" t="s">
        <v>132</v>
      </c>
      <c r="D44" s="37" t="s">
        <v>62</v>
      </c>
      <c r="E44" s="38">
        <v>322</v>
      </c>
      <c r="F44" s="21" t="s">
        <v>87</v>
      </c>
      <c r="H44" s="44" t="s">
        <v>8</v>
      </c>
      <c r="R44" s="47"/>
      <c r="T44" s="25"/>
    </row>
    <row r="45" spans="1:20" s="24" customFormat="1" ht="45" x14ac:dyDescent="0.25">
      <c r="A45" s="35">
        <f>IF(H45&lt;&gt;"",COUNTA(H$1:H45),"")</f>
        <v>29</v>
      </c>
      <c r="B45" s="36" t="s">
        <v>88</v>
      </c>
      <c r="C45" s="21" t="s">
        <v>89</v>
      </c>
      <c r="D45" s="37" t="s">
        <v>62</v>
      </c>
      <c r="E45" s="38">
        <v>322</v>
      </c>
      <c r="F45" s="21"/>
      <c r="H45" s="44" t="s">
        <v>8</v>
      </c>
      <c r="R45" s="47"/>
      <c r="T45" s="25"/>
    </row>
    <row r="46" spans="1:20" s="24" customFormat="1" ht="101.25" x14ac:dyDescent="0.25">
      <c r="A46" s="35">
        <f>IF(H46&lt;&gt;"",COUNTA(H$1:H46),"")</f>
        <v>30</v>
      </c>
      <c r="B46" s="36" t="s">
        <v>135</v>
      </c>
      <c r="C46" s="21" t="s">
        <v>90</v>
      </c>
      <c r="D46" s="37" t="s">
        <v>62</v>
      </c>
      <c r="E46" s="38">
        <v>322</v>
      </c>
      <c r="F46" s="21" t="s">
        <v>134</v>
      </c>
      <c r="H46" s="44" t="s">
        <v>8</v>
      </c>
      <c r="R46" s="47"/>
      <c r="T46" s="25"/>
    </row>
    <row r="47" spans="1:20" s="24" customFormat="1" ht="33.75" x14ac:dyDescent="0.25">
      <c r="A47" s="35">
        <f>IF(H47&lt;&gt;"",COUNTA(H$1:H47),"")</f>
        <v>31</v>
      </c>
      <c r="B47" s="36" t="s">
        <v>136</v>
      </c>
      <c r="C47" s="21" t="s">
        <v>137</v>
      </c>
      <c r="D47" s="37" t="s">
        <v>62</v>
      </c>
      <c r="E47" s="38">
        <v>322</v>
      </c>
      <c r="F47" s="21" t="s">
        <v>91</v>
      </c>
      <c r="H47" s="44" t="s">
        <v>8</v>
      </c>
      <c r="R47" s="47"/>
      <c r="T47" s="25"/>
    </row>
    <row r="48" spans="1:20" s="24" customFormat="1" ht="33.75" x14ac:dyDescent="0.25">
      <c r="A48" s="35">
        <f>IF(H48&lt;&gt;"",COUNTA(H$1:H48),"")</f>
        <v>32</v>
      </c>
      <c r="B48" s="36" t="s">
        <v>92</v>
      </c>
      <c r="C48" s="21" t="s">
        <v>93</v>
      </c>
      <c r="D48" s="37" t="s">
        <v>62</v>
      </c>
      <c r="E48" s="38">
        <v>344.56</v>
      </c>
      <c r="F48" s="21"/>
      <c r="H48" s="44" t="s">
        <v>8</v>
      </c>
      <c r="R48" s="47"/>
      <c r="T48" s="25"/>
    </row>
    <row r="49" spans="1:20" s="24" customFormat="1" ht="292.5" customHeight="1" x14ac:dyDescent="0.25">
      <c r="A49" s="35">
        <f>IF(H49&lt;&gt;"",COUNTA(H$1:H49),"")</f>
        <v>33</v>
      </c>
      <c r="B49" s="36" t="s">
        <v>139</v>
      </c>
      <c r="C49" s="21" t="s">
        <v>94</v>
      </c>
      <c r="D49" s="37" t="s">
        <v>62</v>
      </c>
      <c r="E49" s="38">
        <v>360.27</v>
      </c>
      <c r="F49" s="21" t="s">
        <v>138</v>
      </c>
      <c r="H49" s="44" t="s">
        <v>8</v>
      </c>
      <c r="R49" s="47"/>
      <c r="T49" s="25"/>
    </row>
    <row r="50" spans="1:20" s="24" customFormat="1" ht="33.75" x14ac:dyDescent="0.25">
      <c r="A50" s="35">
        <f>IF(H50&lt;&gt;"",COUNTA(H$1:H50),"")</f>
        <v>34</v>
      </c>
      <c r="B50" s="36" t="s">
        <v>140</v>
      </c>
      <c r="C50" s="21" t="s">
        <v>79</v>
      </c>
      <c r="D50" s="37" t="s">
        <v>7</v>
      </c>
      <c r="E50" s="38">
        <v>8</v>
      </c>
      <c r="F50" s="21" t="s">
        <v>80</v>
      </c>
      <c r="H50" s="44" t="s">
        <v>8</v>
      </c>
      <c r="R50" s="47"/>
      <c r="T50" s="25"/>
    </row>
    <row r="51" spans="1:20" s="24" customFormat="1" ht="33.75" x14ac:dyDescent="0.25">
      <c r="A51" s="35">
        <f>IF(H51&lt;&gt;"",COUNTA(H$1:H51),"")</f>
        <v>35</v>
      </c>
      <c r="B51" s="36" t="s">
        <v>95</v>
      </c>
      <c r="C51" s="21" t="s">
        <v>96</v>
      </c>
      <c r="D51" s="37" t="s">
        <v>62</v>
      </c>
      <c r="E51" s="38">
        <v>55.97</v>
      </c>
      <c r="F51" s="21"/>
      <c r="H51" s="44" t="s">
        <v>8</v>
      </c>
      <c r="R51" s="47"/>
      <c r="T51" s="25"/>
    </row>
    <row r="52" spans="1:20" s="24" customFormat="1" ht="33.75" x14ac:dyDescent="0.25">
      <c r="A52" s="35">
        <f>IF(H52&lt;&gt;"",COUNTA(H$1:H52),"")</f>
        <v>36</v>
      </c>
      <c r="B52" s="36" t="s">
        <v>97</v>
      </c>
      <c r="C52" s="21" t="s">
        <v>93</v>
      </c>
      <c r="D52" s="37" t="s">
        <v>62</v>
      </c>
      <c r="E52" s="38">
        <v>55.97</v>
      </c>
      <c r="F52" s="21"/>
      <c r="H52" s="44" t="s">
        <v>8</v>
      </c>
      <c r="R52" s="47"/>
      <c r="T52" s="25"/>
    </row>
    <row r="53" spans="1:20" s="24" customFormat="1" ht="135" x14ac:dyDescent="0.25">
      <c r="A53" s="35">
        <f>IF(H53&lt;&gt;"",COUNTA(H$1:H53),"")</f>
        <v>37</v>
      </c>
      <c r="B53" s="36" t="s">
        <v>142</v>
      </c>
      <c r="C53" s="21" t="s">
        <v>94</v>
      </c>
      <c r="D53" s="37" t="s">
        <v>62</v>
      </c>
      <c r="E53" s="38">
        <v>188.56</v>
      </c>
      <c r="F53" s="21" t="s">
        <v>141</v>
      </c>
      <c r="H53" s="44" t="s">
        <v>8</v>
      </c>
      <c r="R53" s="47"/>
      <c r="T53" s="25"/>
    </row>
    <row r="54" spans="1:20" s="24" customFormat="1" ht="33.75" x14ac:dyDescent="0.25">
      <c r="A54" s="35">
        <f>IF(H54&lt;&gt;"",COUNTA(H$1:H54),"")</f>
        <v>38</v>
      </c>
      <c r="B54" s="36" t="s">
        <v>98</v>
      </c>
      <c r="C54" s="21" t="s">
        <v>99</v>
      </c>
      <c r="D54" s="37" t="s">
        <v>62</v>
      </c>
      <c r="E54" s="38">
        <v>72.916499999999999</v>
      </c>
      <c r="F54" s="21"/>
      <c r="H54" s="44" t="s">
        <v>8</v>
      </c>
      <c r="R54" s="47"/>
      <c r="T54" s="25"/>
    </row>
    <row r="55" spans="1:20" s="24" customFormat="1" ht="33.75" x14ac:dyDescent="0.25">
      <c r="A55" s="35">
        <f>IF(H55&lt;&gt;"",COUNTA(H$1:H55),"")</f>
        <v>39</v>
      </c>
      <c r="B55" s="36" t="s">
        <v>100</v>
      </c>
      <c r="C55" s="21" t="s">
        <v>96</v>
      </c>
      <c r="D55" s="37" t="s">
        <v>62</v>
      </c>
      <c r="E55" s="38">
        <v>16.559999999999999</v>
      </c>
      <c r="F55" s="21"/>
      <c r="H55" s="44" t="s">
        <v>8</v>
      </c>
      <c r="R55" s="47"/>
      <c r="T55" s="25"/>
    </row>
    <row r="56" spans="1:20" s="24" customFormat="1" ht="33.75" x14ac:dyDescent="0.25">
      <c r="A56" s="35">
        <f>IF(H56&lt;&gt;"",COUNTA(H$1:H56),"")</f>
        <v>40</v>
      </c>
      <c r="B56" s="36" t="s">
        <v>101</v>
      </c>
      <c r="C56" s="21" t="s">
        <v>93</v>
      </c>
      <c r="D56" s="37" t="s">
        <v>62</v>
      </c>
      <c r="E56" s="38">
        <v>16.559999999999999</v>
      </c>
      <c r="F56" s="21"/>
      <c r="H56" s="44" t="s">
        <v>8</v>
      </c>
      <c r="R56" s="47"/>
      <c r="T56" s="25"/>
    </row>
    <row r="57" spans="1:20" s="24" customFormat="1" ht="135" x14ac:dyDescent="0.25">
      <c r="A57" s="35">
        <f>IF(H57&lt;&gt;"",COUNTA(H$1:H57),"")</f>
        <v>41</v>
      </c>
      <c r="B57" s="36" t="s">
        <v>143</v>
      </c>
      <c r="C57" s="21" t="s">
        <v>94</v>
      </c>
      <c r="D57" s="37" t="s">
        <v>62</v>
      </c>
      <c r="E57" s="38">
        <v>66.06</v>
      </c>
      <c r="F57" s="21" t="s">
        <v>141</v>
      </c>
      <c r="H57" s="44" t="s">
        <v>8</v>
      </c>
      <c r="R57" s="47"/>
      <c r="T57" s="25"/>
    </row>
    <row r="58" spans="1:20" s="24" customFormat="1" ht="15" x14ac:dyDescent="0.25">
      <c r="A58" s="124" t="s">
        <v>102</v>
      </c>
      <c r="B58" s="124"/>
      <c r="C58" s="124"/>
      <c r="D58" s="124"/>
      <c r="E58" s="124"/>
      <c r="F58" s="124"/>
      <c r="R58" s="47" t="s">
        <v>102</v>
      </c>
      <c r="T58" s="25"/>
    </row>
    <row r="59" spans="1:20" s="24" customFormat="1" ht="33.75" x14ac:dyDescent="0.25">
      <c r="A59" s="35">
        <f>IF(H59&lt;&gt;"",COUNTA(H$1:H59),"")</f>
        <v>42</v>
      </c>
      <c r="B59" s="36" t="s">
        <v>103</v>
      </c>
      <c r="C59" s="21" t="s">
        <v>99</v>
      </c>
      <c r="D59" s="37" t="s">
        <v>62</v>
      </c>
      <c r="E59" s="38">
        <v>120</v>
      </c>
      <c r="F59" s="21"/>
      <c r="H59" s="44" t="s">
        <v>8</v>
      </c>
      <c r="R59" s="47"/>
      <c r="T59" s="25"/>
    </row>
    <row r="60" spans="1:20" s="24" customFormat="1" ht="15" x14ac:dyDescent="0.25">
      <c r="A60" s="124" t="s">
        <v>104</v>
      </c>
      <c r="B60" s="124"/>
      <c r="C60" s="124"/>
      <c r="D60" s="124"/>
      <c r="E60" s="124"/>
      <c r="F60" s="124"/>
      <c r="R60" s="47" t="s">
        <v>104</v>
      </c>
      <c r="T60" s="25"/>
    </row>
    <row r="61" spans="1:20" s="24" customFormat="1" ht="15" x14ac:dyDescent="0.25">
      <c r="A61" s="35">
        <f>IF(H61&lt;&gt;"",COUNTA(H$1:H61),"")</f>
        <v>43</v>
      </c>
      <c r="B61" s="36" t="s">
        <v>144</v>
      </c>
      <c r="C61" s="21" t="s">
        <v>105</v>
      </c>
      <c r="D61" s="37" t="s">
        <v>59</v>
      </c>
      <c r="E61" s="38">
        <v>129</v>
      </c>
      <c r="F61" s="21" t="s">
        <v>106</v>
      </c>
      <c r="H61" s="44" t="s">
        <v>8</v>
      </c>
      <c r="R61" s="47"/>
      <c r="T61" s="25"/>
    </row>
    <row r="62" spans="1:20" s="24" customFormat="1" ht="33.75" x14ac:dyDescent="0.25">
      <c r="A62" s="35">
        <f>IF(H62&lt;&gt;"",COUNTA(H$1:H62),"")</f>
        <v>44</v>
      </c>
      <c r="B62" s="36" t="s">
        <v>146</v>
      </c>
      <c r="C62" s="21" t="s">
        <v>145</v>
      </c>
      <c r="D62" s="37" t="s">
        <v>60</v>
      </c>
      <c r="E62" s="41">
        <v>0.35</v>
      </c>
      <c r="F62" s="21" t="s">
        <v>107</v>
      </c>
      <c r="H62" s="44" t="s">
        <v>8</v>
      </c>
      <c r="R62" s="47"/>
      <c r="T62" s="25"/>
    </row>
    <row r="63" spans="1:20" s="24" customFormat="1" ht="33.75" x14ac:dyDescent="0.25">
      <c r="A63" s="35">
        <f>IF(H63&lt;&gt;"",COUNTA(H$1:H63),"")</f>
        <v>45</v>
      </c>
      <c r="B63" s="36" t="s">
        <v>147</v>
      </c>
      <c r="C63" s="21" t="s">
        <v>108</v>
      </c>
      <c r="D63" s="37" t="s">
        <v>60</v>
      </c>
      <c r="E63" s="39">
        <v>1.7250000000000001E-2</v>
      </c>
      <c r="F63" s="21" t="s">
        <v>109</v>
      </c>
      <c r="H63" s="44" t="s">
        <v>8</v>
      </c>
      <c r="R63" s="47"/>
      <c r="T63" s="25"/>
    </row>
    <row r="64" spans="1:20" s="24" customFormat="1" ht="33.75" x14ac:dyDescent="0.25">
      <c r="A64" s="35">
        <f>IF(H64&lt;&gt;"",COUNTA(H$1:H64),"")</f>
        <v>46</v>
      </c>
      <c r="B64" s="36" t="s">
        <v>110</v>
      </c>
      <c r="C64" s="21" t="s">
        <v>63</v>
      </c>
      <c r="D64" s="37" t="s">
        <v>62</v>
      </c>
      <c r="E64" s="38">
        <v>65.400000000000006</v>
      </c>
      <c r="F64" s="21"/>
      <c r="H64" s="44" t="s">
        <v>8</v>
      </c>
      <c r="R64" s="47"/>
      <c r="T64" s="25"/>
    </row>
    <row r="65" spans="1:20" s="24" customFormat="1" ht="22.5" x14ac:dyDescent="0.25">
      <c r="A65" s="35">
        <f>IF(H65&lt;&gt;"",COUNTA(H$1:H65),"")</f>
        <v>47</v>
      </c>
      <c r="B65" s="36" t="s">
        <v>111</v>
      </c>
      <c r="C65" s="21" t="s">
        <v>64</v>
      </c>
      <c r="D65" s="37" t="s">
        <v>62</v>
      </c>
      <c r="E65" s="38">
        <v>65.400000000000006</v>
      </c>
      <c r="F65" s="21"/>
      <c r="H65" s="44" t="s">
        <v>8</v>
      </c>
      <c r="R65" s="47"/>
      <c r="T65" s="25"/>
    </row>
    <row r="66" spans="1:20" s="24" customFormat="1" ht="15" x14ac:dyDescent="0.25">
      <c r="A66" s="124" t="s">
        <v>112</v>
      </c>
      <c r="B66" s="124"/>
      <c r="C66" s="124"/>
      <c r="D66" s="124"/>
      <c r="E66" s="124"/>
      <c r="F66" s="124"/>
      <c r="R66" s="47" t="s">
        <v>112</v>
      </c>
      <c r="T66" s="25"/>
    </row>
    <row r="67" spans="1:20" s="24" customFormat="1" ht="45" x14ac:dyDescent="0.25">
      <c r="A67" s="35">
        <f>IF(H67&lt;&gt;"",COUNTA(H$1:H67),"")</f>
        <v>48</v>
      </c>
      <c r="B67" s="36" t="s">
        <v>148</v>
      </c>
      <c r="C67" s="21" t="s">
        <v>113</v>
      </c>
      <c r="D67" s="37" t="s">
        <v>60</v>
      </c>
      <c r="E67" s="39">
        <v>0.19238</v>
      </c>
      <c r="F67" s="21" t="s">
        <v>114</v>
      </c>
      <c r="H67" s="44" t="s">
        <v>8</v>
      </c>
      <c r="R67" s="47"/>
      <c r="T67" s="25"/>
    </row>
    <row r="68" spans="1:20" s="24" customFormat="1" ht="33.75" x14ac:dyDescent="0.25">
      <c r="A68" s="35">
        <f>IF(H68&lt;&gt;"",COUNTA(H$1:H68),"")</f>
        <v>49</v>
      </c>
      <c r="B68" s="36" t="s">
        <v>115</v>
      </c>
      <c r="C68" s="21" t="s">
        <v>63</v>
      </c>
      <c r="D68" s="37" t="s">
        <v>62</v>
      </c>
      <c r="E68" s="38">
        <v>7.72</v>
      </c>
      <c r="F68" s="21"/>
      <c r="H68" s="44" t="s">
        <v>8</v>
      </c>
      <c r="R68" s="47"/>
      <c r="T68" s="25"/>
    </row>
    <row r="69" spans="1:20" s="24" customFormat="1" ht="22.5" x14ac:dyDescent="0.25">
      <c r="A69" s="35">
        <f>IF(H69&lt;&gt;"",COUNTA(H$1:H69),"")</f>
        <v>50</v>
      </c>
      <c r="B69" s="36" t="s">
        <v>116</v>
      </c>
      <c r="C69" s="21" t="s">
        <v>64</v>
      </c>
      <c r="D69" s="37" t="s">
        <v>62</v>
      </c>
      <c r="E69" s="38">
        <v>7.72</v>
      </c>
      <c r="F69" s="21"/>
      <c r="H69" s="44" t="s">
        <v>8</v>
      </c>
      <c r="R69" s="47"/>
      <c r="T69" s="25"/>
    </row>
    <row r="70" spans="1:20" s="24" customFormat="1" ht="22.5" x14ac:dyDescent="0.25">
      <c r="A70" s="35">
        <f>IF(H70&lt;&gt;"",COUNTA(H$1:H70),"")</f>
        <v>51</v>
      </c>
      <c r="B70" s="36" t="s">
        <v>149</v>
      </c>
      <c r="C70" s="21" t="s">
        <v>117</v>
      </c>
      <c r="D70" s="37" t="s">
        <v>62</v>
      </c>
      <c r="E70" s="38">
        <v>7.4</v>
      </c>
      <c r="F70" s="21" t="s">
        <v>118</v>
      </c>
      <c r="H70" s="44" t="s">
        <v>8</v>
      </c>
      <c r="R70" s="47"/>
      <c r="T70" s="25"/>
    </row>
    <row r="71" spans="1:20" s="24" customFormat="1" ht="33.75" x14ac:dyDescent="0.25">
      <c r="A71" s="35">
        <f>IF(H71&lt;&gt;"",COUNTA(H$1:H71),"")</f>
        <v>52</v>
      </c>
      <c r="B71" s="36" t="s">
        <v>150</v>
      </c>
      <c r="C71" s="21" t="s">
        <v>119</v>
      </c>
      <c r="D71" s="37" t="s">
        <v>62</v>
      </c>
      <c r="E71" s="38">
        <v>7</v>
      </c>
      <c r="F71" s="21" t="s">
        <v>120</v>
      </c>
      <c r="H71" s="44" t="s">
        <v>8</v>
      </c>
      <c r="R71" s="47"/>
      <c r="T71" s="25"/>
    </row>
    <row r="72" spans="1:20" s="24" customFormat="1" ht="33.75" x14ac:dyDescent="0.25">
      <c r="A72" s="35">
        <f>IF(H72&lt;&gt;"",COUNTA(H$1:H72),"")</f>
        <v>53</v>
      </c>
      <c r="B72" s="36" t="s">
        <v>151</v>
      </c>
      <c r="C72" s="21" t="s">
        <v>121</v>
      </c>
      <c r="D72" s="37" t="s">
        <v>62</v>
      </c>
      <c r="E72" s="38">
        <v>10</v>
      </c>
      <c r="F72" s="21" t="s">
        <v>72</v>
      </c>
      <c r="H72" s="44" t="s">
        <v>8</v>
      </c>
      <c r="R72" s="47"/>
      <c r="T72" s="25"/>
    </row>
    <row r="73" spans="1:20" s="24" customFormat="1" ht="45" x14ac:dyDescent="0.25">
      <c r="A73" s="35">
        <f>IF(H73&lt;&gt;"",COUNTA(H$1:H73),"")</f>
        <v>54</v>
      </c>
      <c r="B73" s="36" t="s">
        <v>152</v>
      </c>
      <c r="C73" s="21" t="s">
        <v>99</v>
      </c>
      <c r="D73" s="37" t="s">
        <v>62</v>
      </c>
      <c r="E73" s="38">
        <v>2.3319999999999999</v>
      </c>
      <c r="F73" s="21" t="s">
        <v>153</v>
      </c>
      <c r="H73" s="44" t="s">
        <v>8</v>
      </c>
      <c r="R73" s="47"/>
      <c r="T73" s="25"/>
    </row>
    <row r="74" spans="1:20" ht="11.25" customHeight="1" x14ac:dyDescent="0.2">
      <c r="A74" s="27"/>
      <c r="B74" s="28"/>
      <c r="C74" s="28"/>
      <c r="D74" s="28"/>
      <c r="E74" s="28"/>
      <c r="F74" s="28"/>
    </row>
    <row r="75" spans="1:20" s="24" customFormat="1" ht="15" x14ac:dyDescent="0.25">
      <c r="A75" s="30"/>
      <c r="B75" s="50"/>
      <c r="C75" s="30"/>
      <c r="D75" s="50"/>
      <c r="E75" s="30"/>
      <c r="F75" s="50"/>
    </row>
  </sheetData>
  <mergeCells count="15">
    <mergeCell ref="A66:F66"/>
    <mergeCell ref="E1:F1"/>
    <mergeCell ref="A3:F3"/>
    <mergeCell ref="A4:F4"/>
    <mergeCell ref="A22:F22"/>
    <mergeCell ref="A24:F24"/>
    <mergeCell ref="A27:F27"/>
    <mergeCell ref="A31:F31"/>
    <mergeCell ref="A58:F58"/>
    <mergeCell ref="A60:F60"/>
    <mergeCell ref="A8:F8"/>
    <mergeCell ref="A14:F14"/>
    <mergeCell ref="A16:F16"/>
    <mergeCell ref="A18:F18"/>
    <mergeCell ref="A20:F20"/>
  </mergeCells>
  <printOptions horizontalCentered="1"/>
  <pageMargins left="0.78740155696868896" right="0.31496062874794001" top="0.31496062874794001" bottom="0.31496062874794001" header="0.19685038924217199" footer="0.19685038924217199"/>
  <pageSetup paperSize="9" scale="93"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4097" r:id="rId4">
          <objectPr defaultSize="0" autoPict="0" r:id="rId5">
            <anchor moveWithCells="1" sizeWithCells="1">
              <from>
                <xdr:col>0</xdr:col>
                <xdr:colOff>0</xdr:colOff>
                <xdr:row>74</xdr:row>
                <xdr:rowOff>123825</xdr:rowOff>
              </from>
              <to>
                <xdr:col>5</xdr:col>
                <xdr:colOff>2438400</xdr:colOff>
                <xdr:row>84</xdr:row>
                <xdr:rowOff>95250</xdr:rowOff>
              </to>
            </anchor>
          </objectPr>
        </oleObject>
      </mc:Choice>
      <mc:Fallback>
        <oleObject progId="Word.Document.12" shapeId="40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85"/>
  <sheetViews>
    <sheetView workbookViewId="0">
      <selection activeCell="M4" sqref="M4"/>
    </sheetView>
  </sheetViews>
  <sheetFormatPr defaultColWidth="9.140625" defaultRowHeight="11.25" x14ac:dyDescent="0.2"/>
  <cols>
    <col min="1" max="1" width="5.5703125" style="89" customWidth="1"/>
    <col min="2" max="2" width="5.5703125" style="90" customWidth="1"/>
    <col min="3" max="3" width="44.42578125" style="90" customWidth="1"/>
    <col min="4" max="4" width="10.7109375" style="90" customWidth="1"/>
    <col min="5" max="5" width="12.28515625" style="90" customWidth="1"/>
    <col min="6" max="6" width="32.7109375" style="90" customWidth="1"/>
    <col min="7" max="7" width="9.140625" style="90"/>
    <col min="8" max="8" width="4.7109375" style="90" hidden="1" customWidth="1"/>
    <col min="9" max="14" width="9.140625" style="90"/>
    <col min="15" max="16" width="135.28515625" style="91" hidden="1" customWidth="1"/>
    <col min="17" max="18" width="55.140625" style="92" hidden="1" customWidth="1"/>
    <col min="19" max="22" width="69" style="93" hidden="1" customWidth="1"/>
    <col min="23" max="24" width="55.140625" style="92" hidden="1" customWidth="1"/>
    <col min="25" max="28" width="69" style="93" hidden="1" customWidth="1"/>
    <col min="29" max="16384" width="9.140625" style="90"/>
  </cols>
  <sheetData>
    <row r="1" spans="1:16" ht="26.25" customHeight="1" x14ac:dyDescent="0.2">
      <c r="D1" s="119" t="s">
        <v>703</v>
      </c>
      <c r="E1" s="119"/>
      <c r="F1" s="119"/>
    </row>
    <row r="3" spans="1:16" s="10" customFormat="1" ht="18.75" x14ac:dyDescent="0.3">
      <c r="A3" s="127" t="s">
        <v>826</v>
      </c>
      <c r="B3" s="127"/>
      <c r="C3" s="127"/>
      <c r="D3" s="127"/>
      <c r="E3" s="127"/>
      <c r="F3" s="127"/>
    </row>
    <row r="4" spans="1:16" s="10" customFormat="1" ht="18.75" x14ac:dyDescent="0.3">
      <c r="A4" s="94"/>
      <c r="B4" s="94"/>
      <c r="C4" s="94"/>
      <c r="D4" s="94"/>
      <c r="E4" s="94"/>
      <c r="F4" s="94"/>
    </row>
    <row r="5" spans="1:16" s="10" customFormat="1" ht="23.25" customHeight="1" x14ac:dyDescent="0.25">
      <c r="A5" s="123" t="s">
        <v>654</v>
      </c>
      <c r="B5" s="123"/>
      <c r="C5" s="123"/>
      <c r="D5" s="123"/>
      <c r="E5" s="123"/>
      <c r="F5" s="123"/>
    </row>
    <row r="6" spans="1:16" s="10" customFormat="1" ht="15" x14ac:dyDescent="0.25">
      <c r="A6" s="95"/>
    </row>
    <row r="7" spans="1:16" s="10" customFormat="1" ht="22.5" x14ac:dyDescent="0.25">
      <c r="A7" s="96" t="s">
        <v>0</v>
      </c>
      <c r="B7" s="97" t="s">
        <v>1</v>
      </c>
      <c r="C7" s="97" t="s">
        <v>2</v>
      </c>
      <c r="D7" s="97" t="s">
        <v>3</v>
      </c>
      <c r="E7" s="97" t="s">
        <v>4</v>
      </c>
      <c r="F7" s="97" t="s">
        <v>726</v>
      </c>
    </row>
    <row r="8" spans="1:16" s="10" customFormat="1" ht="15" x14ac:dyDescent="0.25">
      <c r="A8" s="98">
        <v>1</v>
      </c>
      <c r="B8" s="99">
        <v>2</v>
      </c>
      <c r="C8" s="99">
        <v>3</v>
      </c>
      <c r="D8" s="99">
        <v>4</v>
      </c>
      <c r="E8" s="99">
        <v>5</v>
      </c>
      <c r="F8" s="99">
        <v>6</v>
      </c>
    </row>
    <row r="9" spans="1:16" s="10" customFormat="1" ht="15" x14ac:dyDescent="0.25">
      <c r="A9" s="128" t="s">
        <v>727</v>
      </c>
      <c r="B9" s="128"/>
      <c r="C9" s="128"/>
      <c r="D9" s="128"/>
      <c r="E9" s="128"/>
      <c r="F9" s="128"/>
      <c r="O9" s="100" t="s">
        <v>727</v>
      </c>
    </row>
    <row r="10" spans="1:16" s="10" customFormat="1" ht="15" x14ac:dyDescent="0.25">
      <c r="A10" s="126" t="s">
        <v>728</v>
      </c>
      <c r="B10" s="126"/>
      <c r="C10" s="126"/>
      <c r="D10" s="126"/>
      <c r="E10" s="126"/>
      <c r="F10" s="126"/>
      <c r="O10" s="100"/>
      <c r="P10" s="101" t="s">
        <v>728</v>
      </c>
    </row>
    <row r="11" spans="1:16" s="10" customFormat="1" ht="33.75" x14ac:dyDescent="0.25">
      <c r="A11" s="102">
        <f>IF(H11&lt;&gt;"",COUNTA(H$1:H11),"")</f>
        <v>1</v>
      </c>
      <c r="B11" s="103" t="s">
        <v>729</v>
      </c>
      <c r="C11" s="104" t="s">
        <v>730</v>
      </c>
      <c r="D11" s="105" t="s">
        <v>7</v>
      </c>
      <c r="E11" s="106">
        <v>2</v>
      </c>
      <c r="F11" s="104" t="s">
        <v>731</v>
      </c>
      <c r="H11" s="90" t="s">
        <v>8</v>
      </c>
      <c r="O11" s="100"/>
      <c r="P11" s="101"/>
    </row>
    <row r="12" spans="1:16" s="10" customFormat="1" ht="22.5" x14ac:dyDescent="0.25">
      <c r="A12" s="102">
        <f>IF(H12&lt;&gt;"",COUNTA(H$1:H12),"")</f>
        <v>2</v>
      </c>
      <c r="B12" s="103" t="s">
        <v>10</v>
      </c>
      <c r="C12" s="104" t="s">
        <v>19</v>
      </c>
      <c r="D12" s="105" t="s">
        <v>7</v>
      </c>
      <c r="E12" s="106">
        <v>10</v>
      </c>
      <c r="F12" s="104"/>
      <c r="H12" s="90" t="s">
        <v>8</v>
      </c>
      <c r="O12" s="100"/>
      <c r="P12" s="101"/>
    </row>
    <row r="13" spans="1:16" s="10" customFormat="1" ht="22.5" x14ac:dyDescent="0.25">
      <c r="A13" s="102">
        <f>IF(H13&lt;&gt;"",COUNTA(H$1:H13),"")</f>
        <v>3</v>
      </c>
      <c r="B13" s="103" t="s">
        <v>216</v>
      </c>
      <c r="C13" s="104" t="s">
        <v>732</v>
      </c>
      <c r="D13" s="105" t="s">
        <v>7</v>
      </c>
      <c r="E13" s="106">
        <v>3</v>
      </c>
      <c r="F13" s="104"/>
      <c r="H13" s="90" t="s">
        <v>8</v>
      </c>
      <c r="O13" s="100"/>
      <c r="P13" s="101"/>
    </row>
    <row r="14" spans="1:16" s="10" customFormat="1" ht="22.5" x14ac:dyDescent="0.25">
      <c r="A14" s="102">
        <f>IF(H14&lt;&gt;"",COUNTA(H$1:H14),"")</f>
        <v>4</v>
      </c>
      <c r="B14" s="103" t="s">
        <v>218</v>
      </c>
      <c r="C14" s="104" t="s">
        <v>733</v>
      </c>
      <c r="D14" s="105" t="s">
        <v>7</v>
      </c>
      <c r="E14" s="106">
        <v>4</v>
      </c>
      <c r="F14" s="104"/>
      <c r="H14" s="90" t="s">
        <v>8</v>
      </c>
      <c r="O14" s="100"/>
      <c r="P14" s="101"/>
    </row>
    <row r="15" spans="1:16" s="10" customFormat="1" ht="22.5" x14ac:dyDescent="0.25">
      <c r="A15" s="102">
        <f>IF(H15&lt;&gt;"",COUNTA(H$1:H15),"")</f>
        <v>5</v>
      </c>
      <c r="B15" s="103" t="s">
        <v>220</v>
      </c>
      <c r="C15" s="104" t="s">
        <v>734</v>
      </c>
      <c r="D15" s="105" t="s">
        <v>7</v>
      </c>
      <c r="E15" s="106">
        <v>3</v>
      </c>
      <c r="F15" s="104"/>
      <c r="H15" s="90" t="s">
        <v>8</v>
      </c>
      <c r="O15" s="100"/>
      <c r="P15" s="101"/>
    </row>
    <row r="16" spans="1:16" s="10" customFormat="1" ht="15" x14ac:dyDescent="0.25">
      <c r="A16" s="102">
        <f>IF(H16&lt;&gt;"",COUNTA(H$1:H16),"")</f>
        <v>6</v>
      </c>
      <c r="B16" s="103" t="s">
        <v>12</v>
      </c>
      <c r="C16" s="104" t="s">
        <v>21</v>
      </c>
      <c r="D16" s="105" t="s">
        <v>7</v>
      </c>
      <c r="E16" s="106">
        <v>124</v>
      </c>
      <c r="F16" s="104"/>
      <c r="H16" s="90" t="s">
        <v>8</v>
      </c>
      <c r="O16" s="100"/>
      <c r="P16" s="101"/>
    </row>
    <row r="17" spans="1:16" s="10" customFormat="1" ht="22.5" x14ac:dyDescent="0.25">
      <c r="A17" s="102">
        <f>IF(H17&lt;&gt;"",COUNTA(H$1:H17),"")</f>
        <v>7</v>
      </c>
      <c r="B17" s="103" t="s">
        <v>13</v>
      </c>
      <c r="C17" s="104" t="s">
        <v>735</v>
      </c>
      <c r="D17" s="105" t="s">
        <v>7</v>
      </c>
      <c r="E17" s="106">
        <v>2</v>
      </c>
      <c r="F17" s="104"/>
      <c r="H17" s="90" t="s">
        <v>8</v>
      </c>
      <c r="O17" s="100"/>
      <c r="P17" s="101"/>
    </row>
    <row r="18" spans="1:16" s="10" customFormat="1" ht="22.5" x14ac:dyDescent="0.25">
      <c r="A18" s="102">
        <f>IF(H18&lt;&gt;"",COUNTA(H$1:H18),"")</f>
        <v>8</v>
      </c>
      <c r="B18" s="103" t="s">
        <v>14</v>
      </c>
      <c r="C18" s="104" t="s">
        <v>736</v>
      </c>
      <c r="D18" s="105" t="s">
        <v>7</v>
      </c>
      <c r="E18" s="106">
        <v>4</v>
      </c>
      <c r="F18" s="104"/>
      <c r="H18" s="90" t="s">
        <v>8</v>
      </c>
      <c r="O18" s="100"/>
      <c r="P18" s="101"/>
    </row>
    <row r="19" spans="1:16" s="10" customFormat="1" ht="22.5" x14ac:dyDescent="0.25">
      <c r="A19" s="102">
        <f>IF(H19&lt;&gt;"",COUNTA(H$1:H19),"")</f>
        <v>9</v>
      </c>
      <c r="B19" s="103" t="s">
        <v>15</v>
      </c>
      <c r="C19" s="104" t="s">
        <v>737</v>
      </c>
      <c r="D19" s="105" t="s">
        <v>7</v>
      </c>
      <c r="E19" s="106">
        <v>1</v>
      </c>
      <c r="F19" s="104"/>
      <c r="H19" s="90" t="s">
        <v>8</v>
      </c>
      <c r="O19" s="100"/>
      <c r="P19" s="101"/>
    </row>
    <row r="20" spans="1:16" s="10" customFormat="1" ht="22.5" x14ac:dyDescent="0.25">
      <c r="A20" s="102">
        <f>IF(H20&lt;&gt;"",COUNTA(H$1:H20),"")</f>
        <v>10</v>
      </c>
      <c r="B20" s="103" t="s">
        <v>225</v>
      </c>
      <c r="C20" s="104" t="s">
        <v>738</v>
      </c>
      <c r="D20" s="105" t="s">
        <v>7</v>
      </c>
      <c r="E20" s="106">
        <v>31</v>
      </c>
      <c r="F20" s="104"/>
      <c r="H20" s="90" t="s">
        <v>8</v>
      </c>
      <c r="O20" s="100"/>
      <c r="P20" s="101"/>
    </row>
    <row r="21" spans="1:16" s="10" customFormat="1" ht="22.5" x14ac:dyDescent="0.25">
      <c r="A21" s="102">
        <f>IF(H21&lt;&gt;"",COUNTA(H$1:H21),"")</f>
        <v>11</v>
      </c>
      <c r="B21" s="103" t="s">
        <v>342</v>
      </c>
      <c r="C21" s="104" t="s">
        <v>739</v>
      </c>
      <c r="D21" s="105" t="s">
        <v>7</v>
      </c>
      <c r="E21" s="106">
        <v>3</v>
      </c>
      <c r="F21" s="104"/>
      <c r="H21" s="90" t="s">
        <v>8</v>
      </c>
      <c r="O21" s="100"/>
      <c r="P21" s="101"/>
    </row>
    <row r="22" spans="1:16" s="10" customFormat="1" ht="22.5" x14ac:dyDescent="0.25">
      <c r="A22" s="102">
        <f>IF(H22&lt;&gt;"",COUNTA(H$1:H22),"")</f>
        <v>12</v>
      </c>
      <c r="B22" s="103" t="s">
        <v>16</v>
      </c>
      <c r="C22" s="104" t="s">
        <v>740</v>
      </c>
      <c r="D22" s="105" t="s">
        <v>7</v>
      </c>
      <c r="E22" s="106">
        <v>12</v>
      </c>
      <c r="F22" s="104"/>
      <c r="H22" s="90" t="s">
        <v>8</v>
      </c>
      <c r="O22" s="100"/>
      <c r="P22" s="101"/>
    </row>
    <row r="23" spans="1:16" s="10" customFormat="1" ht="22.5" x14ac:dyDescent="0.25">
      <c r="A23" s="102">
        <f>IF(H23&lt;&gt;"",COUNTA(H$1:H23),"")</f>
        <v>13</v>
      </c>
      <c r="B23" s="103" t="s">
        <v>17</v>
      </c>
      <c r="C23" s="104" t="s">
        <v>741</v>
      </c>
      <c r="D23" s="105" t="s">
        <v>7</v>
      </c>
      <c r="E23" s="106">
        <v>64</v>
      </c>
      <c r="F23" s="104"/>
      <c r="H23" s="90" t="s">
        <v>8</v>
      </c>
      <c r="O23" s="100"/>
      <c r="P23" s="101"/>
    </row>
    <row r="24" spans="1:16" s="10" customFormat="1" ht="33.75" x14ac:dyDescent="0.25">
      <c r="A24" s="102">
        <f>IF(H24&lt;&gt;"",COUNTA(H$1:H24),"")</f>
        <v>14</v>
      </c>
      <c r="B24" s="103" t="s">
        <v>742</v>
      </c>
      <c r="C24" s="104" t="s">
        <v>743</v>
      </c>
      <c r="D24" s="105" t="s">
        <v>7</v>
      </c>
      <c r="E24" s="106">
        <v>7</v>
      </c>
      <c r="F24" s="104"/>
      <c r="H24" s="90" t="s">
        <v>8</v>
      </c>
      <c r="O24" s="100"/>
      <c r="P24" s="101"/>
    </row>
    <row r="25" spans="1:16" s="10" customFormat="1" ht="15" x14ac:dyDescent="0.25">
      <c r="A25" s="126" t="s">
        <v>744</v>
      </c>
      <c r="B25" s="126"/>
      <c r="C25" s="126"/>
      <c r="D25" s="126"/>
      <c r="E25" s="126"/>
      <c r="F25" s="126"/>
      <c r="O25" s="100"/>
      <c r="P25" s="101" t="s">
        <v>744</v>
      </c>
    </row>
    <row r="26" spans="1:16" s="10" customFormat="1" ht="22.5" x14ac:dyDescent="0.25">
      <c r="A26" s="102">
        <f>IF(H26&lt;&gt;"",COUNTA(H$1:H26),"")</f>
        <v>15</v>
      </c>
      <c r="B26" s="103" t="s">
        <v>745</v>
      </c>
      <c r="C26" s="104" t="s">
        <v>746</v>
      </c>
      <c r="D26" s="105" t="s">
        <v>7</v>
      </c>
      <c r="E26" s="106">
        <v>349</v>
      </c>
      <c r="F26" s="104" t="s">
        <v>747</v>
      </c>
      <c r="H26" s="90" t="s">
        <v>8</v>
      </c>
      <c r="O26" s="100"/>
      <c r="P26" s="101"/>
    </row>
    <row r="27" spans="1:16" s="10" customFormat="1" ht="22.5" x14ac:dyDescent="0.25">
      <c r="A27" s="102">
        <f>IF(H27&lt;&gt;"",COUNTA(H$1:H27),"")</f>
        <v>16</v>
      </c>
      <c r="B27" s="103" t="s">
        <v>748</v>
      </c>
      <c r="C27" s="104" t="s">
        <v>749</v>
      </c>
      <c r="D27" s="105" t="s">
        <v>7</v>
      </c>
      <c r="E27" s="106">
        <v>67</v>
      </c>
      <c r="F27" s="104" t="s">
        <v>750</v>
      </c>
      <c r="H27" s="90" t="s">
        <v>8</v>
      </c>
      <c r="O27" s="100"/>
      <c r="P27" s="101"/>
    </row>
    <row r="28" spans="1:16" s="10" customFormat="1" ht="33.75" x14ac:dyDescent="0.25">
      <c r="A28" s="102">
        <f>IF(H28&lt;&gt;"",COUNTA(H$1:H28),"")</f>
        <v>17</v>
      </c>
      <c r="B28" s="103" t="s">
        <v>751</v>
      </c>
      <c r="C28" s="104" t="s">
        <v>752</v>
      </c>
      <c r="D28" s="105" t="s">
        <v>7</v>
      </c>
      <c r="E28" s="106">
        <v>55</v>
      </c>
      <c r="F28" s="104" t="s">
        <v>753</v>
      </c>
      <c r="H28" s="90" t="s">
        <v>8</v>
      </c>
      <c r="O28" s="100"/>
      <c r="P28" s="101"/>
    </row>
    <row r="29" spans="1:16" s="10" customFormat="1" ht="22.5" x14ac:dyDescent="0.25">
      <c r="A29" s="102">
        <f>IF(H29&lt;&gt;"",COUNTA(H$1:H29),"")</f>
        <v>18</v>
      </c>
      <c r="B29" s="103" t="s">
        <v>239</v>
      </c>
      <c r="C29" s="104" t="s">
        <v>754</v>
      </c>
      <c r="D29" s="105" t="s">
        <v>7</v>
      </c>
      <c r="E29" s="106">
        <v>471</v>
      </c>
      <c r="F29" s="104"/>
      <c r="H29" s="90" t="s">
        <v>8</v>
      </c>
      <c r="O29" s="100"/>
      <c r="P29" s="101"/>
    </row>
    <row r="30" spans="1:16" s="10" customFormat="1" ht="15" x14ac:dyDescent="0.25">
      <c r="A30" s="126" t="s">
        <v>755</v>
      </c>
      <c r="B30" s="126"/>
      <c r="C30" s="126"/>
      <c r="D30" s="126"/>
      <c r="E30" s="126"/>
      <c r="F30" s="126"/>
      <c r="O30" s="100"/>
      <c r="P30" s="101" t="s">
        <v>755</v>
      </c>
    </row>
    <row r="31" spans="1:16" s="10" customFormat="1" ht="33.75" x14ac:dyDescent="0.25">
      <c r="A31" s="102">
        <f>IF(H31&lt;&gt;"",COUNTA(H$1:H31),"")</f>
        <v>19</v>
      </c>
      <c r="B31" s="103" t="s">
        <v>756</v>
      </c>
      <c r="C31" s="104" t="s">
        <v>757</v>
      </c>
      <c r="D31" s="105" t="s">
        <v>7</v>
      </c>
      <c r="E31" s="106">
        <v>31</v>
      </c>
      <c r="F31" s="104" t="s">
        <v>758</v>
      </c>
      <c r="H31" s="90" t="s">
        <v>8</v>
      </c>
      <c r="O31" s="100"/>
      <c r="P31" s="101"/>
    </row>
    <row r="32" spans="1:16" s="10" customFormat="1" ht="56.25" x14ac:dyDescent="0.25">
      <c r="A32" s="102">
        <f>IF(H32&lt;&gt;"",COUNTA(H$1:H32),"")</f>
        <v>20</v>
      </c>
      <c r="B32" s="103" t="s">
        <v>759</v>
      </c>
      <c r="C32" s="104" t="s">
        <v>760</v>
      </c>
      <c r="D32" s="105" t="s">
        <v>7</v>
      </c>
      <c r="E32" s="106">
        <v>16</v>
      </c>
      <c r="F32" s="104" t="s">
        <v>761</v>
      </c>
      <c r="H32" s="90" t="s">
        <v>8</v>
      </c>
      <c r="O32" s="100"/>
      <c r="P32" s="101"/>
    </row>
    <row r="33" spans="1:16" s="10" customFormat="1" ht="22.5" x14ac:dyDescent="0.25">
      <c r="A33" s="102">
        <f>IF(H33&lt;&gt;"",COUNTA(H$1:H33),"")</f>
        <v>21</v>
      </c>
      <c r="B33" s="103" t="s">
        <v>27</v>
      </c>
      <c r="C33" s="104" t="s">
        <v>762</v>
      </c>
      <c r="D33" s="105" t="s">
        <v>7</v>
      </c>
      <c r="E33" s="106">
        <v>542</v>
      </c>
      <c r="F33" s="104"/>
      <c r="H33" s="90" t="s">
        <v>8</v>
      </c>
      <c r="O33" s="100"/>
      <c r="P33" s="101"/>
    </row>
    <row r="34" spans="1:16" s="10" customFormat="1" ht="112.5" x14ac:dyDescent="0.25">
      <c r="A34" s="102">
        <f>IF(H34&lt;&gt;"",COUNTA(H$1:H34),"")</f>
        <v>22</v>
      </c>
      <c r="B34" s="103" t="s">
        <v>691</v>
      </c>
      <c r="C34" s="104" t="s">
        <v>763</v>
      </c>
      <c r="D34" s="105" t="s">
        <v>7</v>
      </c>
      <c r="E34" s="106">
        <v>196</v>
      </c>
      <c r="F34" s="88" t="s">
        <v>764</v>
      </c>
      <c r="H34" s="90" t="s">
        <v>8</v>
      </c>
      <c r="O34" s="100"/>
      <c r="P34" s="101"/>
    </row>
    <row r="35" spans="1:16" s="10" customFormat="1" ht="112.5" x14ac:dyDescent="0.25">
      <c r="A35" s="102">
        <f>IF(H35&lt;&gt;"",COUNTA(H$1:H35),"")</f>
        <v>23</v>
      </c>
      <c r="B35" s="103" t="s">
        <v>243</v>
      </c>
      <c r="C35" s="104" t="s">
        <v>763</v>
      </c>
      <c r="D35" s="105" t="s">
        <v>7</v>
      </c>
      <c r="E35" s="106">
        <v>316</v>
      </c>
      <c r="F35" s="17" t="s">
        <v>765</v>
      </c>
      <c r="H35" s="90" t="s">
        <v>8</v>
      </c>
      <c r="O35" s="100"/>
      <c r="P35" s="101"/>
    </row>
    <row r="36" spans="1:16" s="10" customFormat="1" ht="101.25" x14ac:dyDescent="0.25">
      <c r="A36" s="102">
        <f>IF(H36&lt;&gt;"",COUNTA(H$1:H36),"")</f>
        <v>24</v>
      </c>
      <c r="B36" s="103" t="s">
        <v>244</v>
      </c>
      <c r="C36" s="104" t="s">
        <v>763</v>
      </c>
      <c r="D36" s="105" t="s">
        <v>7</v>
      </c>
      <c r="E36" s="106">
        <v>30</v>
      </c>
      <c r="F36" s="17" t="s">
        <v>766</v>
      </c>
      <c r="H36" s="90" t="s">
        <v>8</v>
      </c>
      <c r="O36" s="100"/>
      <c r="P36" s="101"/>
    </row>
    <row r="37" spans="1:16" s="10" customFormat="1" ht="101.25" x14ac:dyDescent="0.25">
      <c r="A37" s="102">
        <f>IF(H37&lt;&gt;"",COUNTA(H$1:H37),"")</f>
        <v>25</v>
      </c>
      <c r="B37" s="103" t="s">
        <v>767</v>
      </c>
      <c r="C37" s="104" t="s">
        <v>760</v>
      </c>
      <c r="D37" s="105" t="s">
        <v>7</v>
      </c>
      <c r="E37" s="106">
        <v>7</v>
      </c>
      <c r="F37" s="17" t="s">
        <v>768</v>
      </c>
      <c r="H37" s="90" t="s">
        <v>8</v>
      </c>
      <c r="O37" s="100"/>
      <c r="P37" s="101"/>
    </row>
    <row r="38" spans="1:16" s="10" customFormat="1" ht="67.5" x14ac:dyDescent="0.25">
      <c r="A38" s="102">
        <f>IF(H38&lt;&gt;"",COUNTA(H$1:H38),"")</f>
        <v>26</v>
      </c>
      <c r="B38" s="103" t="s">
        <v>769</v>
      </c>
      <c r="C38" s="104" t="s">
        <v>770</v>
      </c>
      <c r="D38" s="105" t="s">
        <v>7</v>
      </c>
      <c r="E38" s="106">
        <v>30</v>
      </c>
      <c r="F38" s="88" t="s">
        <v>771</v>
      </c>
      <c r="H38" s="90" t="s">
        <v>8</v>
      </c>
      <c r="O38" s="100"/>
      <c r="P38" s="101"/>
    </row>
    <row r="39" spans="1:16" s="10" customFormat="1" ht="45" x14ac:dyDescent="0.25">
      <c r="A39" s="102">
        <f>IF(H39&lt;&gt;"",COUNTA(H$1:H39),"")</f>
        <v>27</v>
      </c>
      <c r="B39" s="103" t="s">
        <v>772</v>
      </c>
      <c r="C39" s="104" t="s">
        <v>773</v>
      </c>
      <c r="D39" s="105" t="s">
        <v>7</v>
      </c>
      <c r="E39" s="106">
        <v>10</v>
      </c>
      <c r="F39" s="88" t="s">
        <v>774</v>
      </c>
      <c r="H39" s="90" t="s">
        <v>8</v>
      </c>
      <c r="O39" s="100"/>
      <c r="P39" s="101"/>
    </row>
    <row r="40" spans="1:16" s="10" customFormat="1" ht="15" x14ac:dyDescent="0.25">
      <c r="A40" s="126" t="s">
        <v>775</v>
      </c>
      <c r="B40" s="126"/>
      <c r="C40" s="126"/>
      <c r="D40" s="126"/>
      <c r="E40" s="126"/>
      <c r="F40" s="126"/>
      <c r="O40" s="100"/>
      <c r="P40" s="101" t="s">
        <v>775</v>
      </c>
    </row>
    <row r="41" spans="1:16" s="10" customFormat="1" ht="33.75" x14ac:dyDescent="0.25">
      <c r="A41" s="102">
        <f>IF(H41&lt;&gt;"",COUNTA(H$1:H41),"")</f>
        <v>28</v>
      </c>
      <c r="B41" s="103" t="s">
        <v>251</v>
      </c>
      <c r="C41" s="104" t="s">
        <v>175</v>
      </c>
      <c r="D41" s="105" t="s">
        <v>59</v>
      </c>
      <c r="E41" s="106">
        <v>6266</v>
      </c>
      <c r="F41" s="104"/>
      <c r="H41" s="90" t="s">
        <v>8</v>
      </c>
      <c r="O41" s="100"/>
      <c r="P41" s="101"/>
    </row>
    <row r="42" spans="1:16" s="10" customFormat="1" ht="22.5" x14ac:dyDescent="0.25">
      <c r="A42" s="102">
        <f>IF(H42&lt;&gt;"",COUNTA(H$1:H42),"")</f>
        <v>29</v>
      </c>
      <c r="B42" s="103" t="s">
        <v>252</v>
      </c>
      <c r="C42" s="104" t="s">
        <v>776</v>
      </c>
      <c r="D42" s="105" t="s">
        <v>59</v>
      </c>
      <c r="E42" s="106">
        <v>6216</v>
      </c>
      <c r="F42" s="104"/>
      <c r="H42" s="90" t="s">
        <v>8</v>
      </c>
      <c r="O42" s="100"/>
      <c r="P42" s="101"/>
    </row>
    <row r="43" spans="1:16" s="10" customFormat="1" ht="22.5" x14ac:dyDescent="0.25">
      <c r="A43" s="102">
        <f>IF(H43&lt;&gt;"",COUNTA(H$1:H43),"")</f>
        <v>30</v>
      </c>
      <c r="B43" s="103" t="s">
        <v>67</v>
      </c>
      <c r="C43" s="104" t="s">
        <v>777</v>
      </c>
      <c r="D43" s="105" t="s">
        <v>59</v>
      </c>
      <c r="E43" s="106">
        <v>50</v>
      </c>
      <c r="F43" s="104"/>
      <c r="H43" s="90" t="s">
        <v>8</v>
      </c>
      <c r="O43" s="100"/>
      <c r="P43" s="101"/>
    </row>
    <row r="44" spans="1:16" s="10" customFormat="1" ht="22.5" x14ac:dyDescent="0.25">
      <c r="A44" s="102">
        <f>IF(H44&lt;&gt;"",COUNTA(H$1:H44),"")</f>
        <v>31</v>
      </c>
      <c r="B44" s="103" t="s">
        <v>69</v>
      </c>
      <c r="C44" s="104" t="s">
        <v>778</v>
      </c>
      <c r="D44" s="105" t="s">
        <v>7</v>
      </c>
      <c r="E44" s="106">
        <v>6300</v>
      </c>
      <c r="F44" s="104"/>
      <c r="H44" s="90" t="s">
        <v>8</v>
      </c>
      <c r="O44" s="100"/>
      <c r="P44" s="101"/>
    </row>
    <row r="45" spans="1:16" s="10" customFormat="1" ht="33.75" x14ac:dyDescent="0.25">
      <c r="A45" s="102">
        <f>IF(H45&lt;&gt;"",COUNTA(H$1:H45),"")</f>
        <v>32</v>
      </c>
      <c r="B45" s="103" t="s">
        <v>253</v>
      </c>
      <c r="C45" s="104" t="s">
        <v>179</v>
      </c>
      <c r="D45" s="105" t="s">
        <v>59</v>
      </c>
      <c r="E45" s="106">
        <v>2756</v>
      </c>
      <c r="F45" s="104"/>
      <c r="H45" s="90" t="s">
        <v>8</v>
      </c>
      <c r="O45" s="100"/>
      <c r="P45" s="101"/>
    </row>
    <row r="46" spans="1:16" s="10" customFormat="1" ht="33.75" x14ac:dyDescent="0.25">
      <c r="A46" s="102">
        <f>IF(H46&lt;&gt;"",COUNTA(H$1:H46),"")</f>
        <v>33</v>
      </c>
      <c r="B46" s="103" t="s">
        <v>255</v>
      </c>
      <c r="C46" s="104" t="s">
        <v>779</v>
      </c>
      <c r="D46" s="105" t="s">
        <v>59</v>
      </c>
      <c r="E46" s="106">
        <v>1870</v>
      </c>
      <c r="F46" s="104"/>
      <c r="H46" s="90" t="s">
        <v>8</v>
      </c>
      <c r="O46" s="100"/>
      <c r="P46" s="101"/>
    </row>
    <row r="47" spans="1:16" s="10" customFormat="1" ht="33.75" x14ac:dyDescent="0.25">
      <c r="A47" s="102">
        <f>IF(H47&lt;&gt;"",COUNTA(H$1:H47),"")</f>
        <v>34</v>
      </c>
      <c r="B47" s="103" t="s">
        <v>73</v>
      </c>
      <c r="C47" s="104" t="s">
        <v>780</v>
      </c>
      <c r="D47" s="105" t="s">
        <v>59</v>
      </c>
      <c r="E47" s="106">
        <v>90</v>
      </c>
      <c r="F47" s="104"/>
      <c r="H47" s="90" t="s">
        <v>8</v>
      </c>
      <c r="O47" s="100"/>
      <c r="P47" s="101"/>
    </row>
    <row r="48" spans="1:16" s="10" customFormat="1" ht="33.75" x14ac:dyDescent="0.25">
      <c r="A48" s="102">
        <f>IF(H48&lt;&gt;"",COUNTA(H$1:H48),"")</f>
        <v>35</v>
      </c>
      <c r="B48" s="103" t="s">
        <v>75</v>
      </c>
      <c r="C48" s="104" t="s">
        <v>781</v>
      </c>
      <c r="D48" s="105" t="s">
        <v>59</v>
      </c>
      <c r="E48" s="106">
        <v>50</v>
      </c>
      <c r="F48" s="104"/>
      <c r="H48" s="90" t="s">
        <v>8</v>
      </c>
      <c r="O48" s="100"/>
      <c r="P48" s="101"/>
    </row>
    <row r="49" spans="1:16" s="10" customFormat="1" ht="45" x14ac:dyDescent="0.25">
      <c r="A49" s="102">
        <f>IF(H49&lt;&gt;"",COUNTA(H$1:H49),"")</f>
        <v>36</v>
      </c>
      <c r="B49" s="103" t="s">
        <v>77</v>
      </c>
      <c r="C49" s="104" t="s">
        <v>782</v>
      </c>
      <c r="D49" s="105" t="s">
        <v>59</v>
      </c>
      <c r="E49" s="106">
        <v>1000</v>
      </c>
      <c r="F49" s="104"/>
      <c r="H49" s="90" t="s">
        <v>8</v>
      </c>
      <c r="O49" s="100"/>
      <c r="P49" s="101"/>
    </row>
    <row r="50" spans="1:16" s="10" customFormat="1" ht="45" x14ac:dyDescent="0.25">
      <c r="A50" s="102">
        <f>IF(H50&lt;&gt;"",COUNTA(H$1:H50),"")</f>
        <v>37</v>
      </c>
      <c r="B50" s="103" t="s">
        <v>256</v>
      </c>
      <c r="C50" s="104" t="s">
        <v>783</v>
      </c>
      <c r="D50" s="105" t="s">
        <v>59</v>
      </c>
      <c r="E50" s="106">
        <v>500</v>
      </c>
      <c r="F50" s="104"/>
      <c r="H50" s="90" t="s">
        <v>8</v>
      </c>
      <c r="O50" s="100"/>
      <c r="P50" s="101"/>
    </row>
    <row r="51" spans="1:16" s="10" customFormat="1" ht="22.5" x14ac:dyDescent="0.25">
      <c r="A51" s="102">
        <f>IF(H51&lt;&gt;"",COUNTA(H$1:H51),"")</f>
        <v>38</v>
      </c>
      <c r="B51" s="103" t="s">
        <v>257</v>
      </c>
      <c r="C51" s="104" t="s">
        <v>784</v>
      </c>
      <c r="D51" s="105" t="s">
        <v>59</v>
      </c>
      <c r="E51" s="106">
        <v>1244</v>
      </c>
      <c r="F51" s="104"/>
      <c r="H51" s="90" t="s">
        <v>8</v>
      </c>
      <c r="O51" s="100"/>
      <c r="P51" s="101"/>
    </row>
    <row r="52" spans="1:16" s="10" customFormat="1" ht="15" x14ac:dyDescent="0.25">
      <c r="A52" s="102">
        <f>IF(H52&lt;&gt;"",COUNTA(H$1:H52),"")</f>
        <v>39</v>
      </c>
      <c r="B52" s="103" t="s">
        <v>258</v>
      </c>
      <c r="C52" s="104" t="s">
        <v>785</v>
      </c>
      <c r="D52" s="105" t="s">
        <v>59</v>
      </c>
      <c r="E52" s="106">
        <v>3060</v>
      </c>
      <c r="F52" s="104"/>
      <c r="H52" s="90" t="s">
        <v>8</v>
      </c>
      <c r="O52" s="100"/>
      <c r="P52" s="101"/>
    </row>
    <row r="53" spans="1:16" s="10" customFormat="1" ht="15" x14ac:dyDescent="0.25">
      <c r="A53" s="102">
        <f>IF(H53&lt;&gt;"",COUNTA(H$1:H53),"")</f>
        <v>40</v>
      </c>
      <c r="B53" s="103" t="s">
        <v>259</v>
      </c>
      <c r="C53" s="104" t="s">
        <v>786</v>
      </c>
      <c r="D53" s="105" t="s">
        <v>59</v>
      </c>
      <c r="E53" s="106">
        <v>2601</v>
      </c>
      <c r="F53" s="104"/>
      <c r="H53" s="90" t="s">
        <v>8</v>
      </c>
      <c r="O53" s="100"/>
      <c r="P53" s="101"/>
    </row>
    <row r="54" spans="1:16" s="10" customFormat="1" ht="15" x14ac:dyDescent="0.25">
      <c r="A54" s="102">
        <f>IF(H54&lt;&gt;"",COUNTA(H$1:H54),"")</f>
        <v>41</v>
      </c>
      <c r="B54" s="103" t="s">
        <v>260</v>
      </c>
      <c r="C54" s="104" t="s">
        <v>787</v>
      </c>
      <c r="D54" s="105" t="s">
        <v>59</v>
      </c>
      <c r="E54" s="106">
        <v>204</v>
      </c>
      <c r="F54" s="104"/>
      <c r="H54" s="90" t="s">
        <v>8</v>
      </c>
      <c r="O54" s="100"/>
      <c r="P54" s="101"/>
    </row>
    <row r="55" spans="1:16" s="10" customFormat="1" ht="15" x14ac:dyDescent="0.25">
      <c r="A55" s="102">
        <f>IF(H55&lt;&gt;"",COUNTA(H$1:H55),"")</f>
        <v>42</v>
      </c>
      <c r="B55" s="103" t="s">
        <v>788</v>
      </c>
      <c r="C55" s="104" t="s">
        <v>789</v>
      </c>
      <c r="D55" s="105" t="s">
        <v>59</v>
      </c>
      <c r="E55" s="106">
        <v>51</v>
      </c>
      <c r="F55" s="104"/>
      <c r="H55" s="90" t="s">
        <v>8</v>
      </c>
      <c r="O55" s="100"/>
      <c r="P55" s="101"/>
    </row>
    <row r="56" spans="1:16" s="10" customFormat="1" ht="15" x14ac:dyDescent="0.25">
      <c r="A56" s="102">
        <f>IF(H56&lt;&gt;"",COUNTA(H$1:H56),"")</f>
        <v>43</v>
      </c>
      <c r="B56" s="103" t="s">
        <v>261</v>
      </c>
      <c r="C56" s="104" t="s">
        <v>790</v>
      </c>
      <c r="D56" s="105" t="s">
        <v>59</v>
      </c>
      <c r="E56" s="107">
        <v>40.799999999999997</v>
      </c>
      <c r="F56" s="104"/>
      <c r="H56" s="90" t="s">
        <v>8</v>
      </c>
      <c r="O56" s="100"/>
      <c r="P56" s="101"/>
    </row>
    <row r="57" spans="1:16" s="10" customFormat="1" ht="15" x14ac:dyDescent="0.25">
      <c r="A57" s="102">
        <f>IF(H57&lt;&gt;"",COUNTA(H$1:H57),"")</f>
        <v>44</v>
      </c>
      <c r="B57" s="103" t="s">
        <v>262</v>
      </c>
      <c r="C57" s="104" t="s">
        <v>791</v>
      </c>
      <c r="D57" s="105" t="s">
        <v>59</v>
      </c>
      <c r="E57" s="106">
        <v>51</v>
      </c>
      <c r="F57" s="104"/>
      <c r="H57" s="90" t="s">
        <v>8</v>
      </c>
      <c r="O57" s="100"/>
      <c r="P57" s="101"/>
    </row>
    <row r="58" spans="1:16" s="10" customFormat="1" ht="15" x14ac:dyDescent="0.25">
      <c r="A58" s="102">
        <f>IF(H58&lt;&gt;"",COUNTA(H$1:H58),"")</f>
        <v>45</v>
      </c>
      <c r="B58" s="103" t="s">
        <v>263</v>
      </c>
      <c r="C58" s="104" t="s">
        <v>792</v>
      </c>
      <c r="D58" s="105" t="s">
        <v>59</v>
      </c>
      <c r="E58" s="107">
        <v>40.799999999999997</v>
      </c>
      <c r="F58" s="104"/>
      <c r="H58" s="90" t="s">
        <v>8</v>
      </c>
      <c r="O58" s="100"/>
      <c r="P58" s="101"/>
    </row>
    <row r="59" spans="1:16" s="10" customFormat="1" ht="15" x14ac:dyDescent="0.25">
      <c r="A59" s="102">
        <f>IF(H59&lt;&gt;"",COUNTA(H$1:H59),"")</f>
        <v>46</v>
      </c>
      <c r="B59" s="103" t="s">
        <v>264</v>
      </c>
      <c r="C59" s="104" t="s">
        <v>793</v>
      </c>
      <c r="D59" s="105" t="s">
        <v>59</v>
      </c>
      <c r="E59" s="107">
        <v>81.599999999999994</v>
      </c>
      <c r="F59" s="104"/>
      <c r="H59" s="90" t="s">
        <v>8</v>
      </c>
      <c r="O59" s="100"/>
      <c r="P59" s="101"/>
    </row>
    <row r="60" spans="1:16" s="10" customFormat="1" ht="22.5" x14ac:dyDescent="0.25">
      <c r="A60" s="102">
        <f>IF(H60&lt;&gt;"",COUNTA(H$1:H60),"")</f>
        <v>47</v>
      </c>
      <c r="B60" s="103" t="s">
        <v>265</v>
      </c>
      <c r="C60" s="104" t="s">
        <v>794</v>
      </c>
      <c r="D60" s="105" t="s">
        <v>59</v>
      </c>
      <c r="E60" s="106">
        <v>1020</v>
      </c>
      <c r="F60" s="104"/>
      <c r="H60" s="90" t="s">
        <v>8</v>
      </c>
      <c r="O60" s="100"/>
      <c r="P60" s="101"/>
    </row>
    <row r="61" spans="1:16" s="10" customFormat="1" ht="22.5" x14ac:dyDescent="0.25">
      <c r="A61" s="102">
        <f>IF(H61&lt;&gt;"",COUNTA(H$1:H61),"")</f>
        <v>48</v>
      </c>
      <c r="B61" s="103" t="s">
        <v>266</v>
      </c>
      <c r="C61" s="104" t="s">
        <v>795</v>
      </c>
      <c r="D61" s="105" t="s">
        <v>59</v>
      </c>
      <c r="E61" s="106">
        <v>510</v>
      </c>
      <c r="F61" s="104"/>
      <c r="H61" s="90" t="s">
        <v>8</v>
      </c>
      <c r="O61" s="100"/>
      <c r="P61" s="101"/>
    </row>
    <row r="62" spans="1:16" s="10" customFormat="1" ht="45" x14ac:dyDescent="0.25">
      <c r="A62" s="102">
        <f>IF(H62&lt;&gt;"",COUNTA(H$1:H62),"")</f>
        <v>49</v>
      </c>
      <c r="B62" s="103" t="s">
        <v>796</v>
      </c>
      <c r="C62" s="104" t="s">
        <v>797</v>
      </c>
      <c r="D62" s="105" t="s">
        <v>59</v>
      </c>
      <c r="E62" s="106">
        <v>40</v>
      </c>
      <c r="F62" s="104" t="s">
        <v>798</v>
      </c>
      <c r="H62" s="90" t="s">
        <v>8</v>
      </c>
      <c r="O62" s="100"/>
      <c r="P62" s="101"/>
    </row>
    <row r="63" spans="1:16" s="10" customFormat="1" ht="78.75" x14ac:dyDescent="0.25">
      <c r="A63" s="102">
        <f>IF(H63&lt;&gt;"",COUNTA(H$1:H63),"")</f>
        <v>50</v>
      </c>
      <c r="B63" s="103" t="s">
        <v>799</v>
      </c>
      <c r="C63" s="104" t="s">
        <v>194</v>
      </c>
      <c r="D63" s="105" t="s">
        <v>7</v>
      </c>
      <c r="E63" s="106">
        <v>80</v>
      </c>
      <c r="F63" s="104" t="s">
        <v>800</v>
      </c>
      <c r="H63" s="90" t="s">
        <v>8</v>
      </c>
      <c r="O63" s="100"/>
      <c r="P63" s="101"/>
    </row>
    <row r="64" spans="1:16" s="10" customFormat="1" ht="22.5" x14ac:dyDescent="0.25">
      <c r="A64" s="102">
        <f>IF(H64&lt;&gt;"",COUNTA(H$1:H64),"")</f>
        <v>51</v>
      </c>
      <c r="B64" s="103" t="s">
        <v>801</v>
      </c>
      <c r="C64" s="104" t="s">
        <v>802</v>
      </c>
      <c r="D64" s="105" t="s">
        <v>7</v>
      </c>
      <c r="E64" s="106">
        <v>250</v>
      </c>
      <c r="F64" s="104"/>
      <c r="H64" s="90" t="s">
        <v>8</v>
      </c>
      <c r="O64" s="100"/>
      <c r="P64" s="101"/>
    </row>
    <row r="65" spans="1:16" s="10" customFormat="1" ht="15" x14ac:dyDescent="0.25">
      <c r="A65" s="102">
        <f>IF(H65&lt;&gt;"",COUNTA(H$1:H65),"")</f>
        <v>52</v>
      </c>
      <c r="B65" s="103" t="s">
        <v>803</v>
      </c>
      <c r="C65" s="104" t="s">
        <v>804</v>
      </c>
      <c r="D65" s="105" t="s">
        <v>7</v>
      </c>
      <c r="E65" s="106">
        <v>4000</v>
      </c>
      <c r="F65" s="104"/>
      <c r="H65" s="90" t="s">
        <v>8</v>
      </c>
      <c r="O65" s="100"/>
      <c r="P65" s="101"/>
    </row>
    <row r="66" spans="1:16" s="10" customFormat="1" ht="15" x14ac:dyDescent="0.25">
      <c r="A66" s="126" t="s">
        <v>805</v>
      </c>
      <c r="B66" s="126"/>
      <c r="C66" s="126"/>
      <c r="D66" s="126"/>
      <c r="E66" s="126"/>
      <c r="F66" s="126"/>
      <c r="O66" s="100"/>
      <c r="P66" s="101" t="s">
        <v>805</v>
      </c>
    </row>
    <row r="67" spans="1:16" s="10" customFormat="1" ht="33.75" x14ac:dyDescent="0.25">
      <c r="A67" s="102">
        <f>IF(H67&lt;&gt;"",COUNTA(H$1:H67),"")</f>
        <v>53</v>
      </c>
      <c r="B67" s="103" t="s">
        <v>806</v>
      </c>
      <c r="C67" s="104" t="s">
        <v>807</v>
      </c>
      <c r="D67" s="105" t="s">
        <v>7</v>
      </c>
      <c r="E67" s="106">
        <v>89</v>
      </c>
      <c r="F67" s="104" t="s">
        <v>808</v>
      </c>
      <c r="H67" s="90" t="s">
        <v>8</v>
      </c>
      <c r="O67" s="100"/>
      <c r="P67" s="101"/>
    </row>
    <row r="68" spans="1:16" s="10" customFormat="1" ht="22.5" x14ac:dyDescent="0.25">
      <c r="A68" s="102">
        <f>IF(H68&lt;&gt;"",COUNTA(H$1:H68),"")</f>
        <v>54</v>
      </c>
      <c r="B68" s="103" t="s">
        <v>809</v>
      </c>
      <c r="C68" s="104" t="s">
        <v>810</v>
      </c>
      <c r="D68" s="105" t="s">
        <v>59</v>
      </c>
      <c r="E68" s="106">
        <v>300</v>
      </c>
      <c r="F68" s="104"/>
      <c r="H68" s="90" t="s">
        <v>8</v>
      </c>
      <c r="O68" s="100"/>
      <c r="P68" s="101"/>
    </row>
    <row r="69" spans="1:16" s="10" customFormat="1" ht="22.5" x14ac:dyDescent="0.25">
      <c r="A69" s="102">
        <f>IF(H69&lt;&gt;"",COUNTA(H$1:H69),"")</f>
        <v>55</v>
      </c>
      <c r="B69" s="103" t="s">
        <v>811</v>
      </c>
      <c r="C69" s="104" t="s">
        <v>812</v>
      </c>
      <c r="D69" s="105" t="s">
        <v>59</v>
      </c>
      <c r="E69" s="106">
        <v>1500</v>
      </c>
      <c r="F69" s="104"/>
      <c r="H69" s="90" t="s">
        <v>8</v>
      </c>
      <c r="O69" s="100"/>
      <c r="P69" s="101"/>
    </row>
    <row r="70" spans="1:16" s="10" customFormat="1" ht="22.5" x14ac:dyDescent="0.25">
      <c r="A70" s="102">
        <f>IF(H70&lt;&gt;"",COUNTA(H$1:H70),"")</f>
        <v>56</v>
      </c>
      <c r="B70" s="103" t="s">
        <v>813</v>
      </c>
      <c r="C70" s="104" t="s">
        <v>814</v>
      </c>
      <c r="D70" s="105" t="s">
        <v>60</v>
      </c>
      <c r="E70" s="108">
        <v>2.3292000000000002</v>
      </c>
      <c r="F70" s="104"/>
      <c r="H70" s="90" t="s">
        <v>8</v>
      </c>
      <c r="O70" s="100"/>
      <c r="P70" s="101"/>
    </row>
    <row r="71" spans="1:16" s="10" customFormat="1" ht="22.5" x14ac:dyDescent="0.25">
      <c r="A71" s="102">
        <f>IF(H71&lt;&gt;"",COUNTA(H$1:H71),"")</f>
        <v>57</v>
      </c>
      <c r="B71" s="103" t="s">
        <v>815</v>
      </c>
      <c r="C71" s="104" t="s">
        <v>816</v>
      </c>
      <c r="D71" s="105" t="s">
        <v>7</v>
      </c>
      <c r="E71" s="106">
        <v>30</v>
      </c>
      <c r="F71" s="104"/>
      <c r="H71" s="90" t="s">
        <v>8</v>
      </c>
      <c r="O71" s="100"/>
      <c r="P71" s="101"/>
    </row>
    <row r="72" spans="1:16" s="10" customFormat="1" ht="15" x14ac:dyDescent="0.25">
      <c r="A72" s="126" t="s">
        <v>817</v>
      </c>
      <c r="B72" s="126"/>
      <c r="C72" s="126"/>
      <c r="D72" s="126"/>
      <c r="E72" s="126"/>
      <c r="F72" s="126"/>
      <c r="O72" s="100"/>
      <c r="P72" s="101" t="s">
        <v>817</v>
      </c>
    </row>
    <row r="73" spans="1:16" s="10" customFormat="1" ht="56.25" x14ac:dyDescent="0.25">
      <c r="A73" s="102">
        <f>IF(H73&lt;&gt;"",COUNTA(H$1:H73),"")</f>
        <v>58</v>
      </c>
      <c r="B73" s="103" t="s">
        <v>818</v>
      </c>
      <c r="C73" s="104" t="s">
        <v>175</v>
      </c>
      <c r="D73" s="105" t="s">
        <v>59</v>
      </c>
      <c r="E73" s="106">
        <v>600</v>
      </c>
      <c r="F73" s="104" t="s">
        <v>819</v>
      </c>
      <c r="H73" s="90" t="s">
        <v>8</v>
      </c>
      <c r="O73" s="100"/>
      <c r="P73" s="101"/>
    </row>
    <row r="74" spans="1:16" s="10" customFormat="1" ht="48.75" customHeight="1" x14ac:dyDescent="0.25">
      <c r="A74" s="102">
        <f>IF(H74&lt;&gt;"",COUNTA(H$1:H74),"")</f>
        <v>59</v>
      </c>
      <c r="B74" s="103" t="s">
        <v>820</v>
      </c>
      <c r="C74" s="104" t="s">
        <v>192</v>
      </c>
      <c r="D74" s="105" t="s">
        <v>59</v>
      </c>
      <c r="E74" s="106">
        <v>30</v>
      </c>
      <c r="F74" s="104" t="s">
        <v>821</v>
      </c>
      <c r="H74" s="90" t="s">
        <v>8</v>
      </c>
      <c r="O74" s="100"/>
      <c r="P74" s="101"/>
    </row>
    <row r="75" spans="1:16" s="10" customFormat="1" ht="48.75" customHeight="1" x14ac:dyDescent="0.25">
      <c r="A75" s="102">
        <f>IF(H76&lt;&gt;"",COUNTA(H$1:H76),"")</f>
        <v>60</v>
      </c>
      <c r="B75" s="103" t="s">
        <v>822</v>
      </c>
      <c r="C75" s="104" t="s">
        <v>179</v>
      </c>
      <c r="D75" s="105" t="s">
        <v>59</v>
      </c>
      <c r="E75" s="106">
        <v>630</v>
      </c>
      <c r="F75" s="104" t="s">
        <v>823</v>
      </c>
      <c r="H75" s="90"/>
      <c r="O75" s="100"/>
      <c r="P75" s="101"/>
    </row>
    <row r="76" spans="1:16" s="10" customFormat="1" ht="22.5" x14ac:dyDescent="0.25">
      <c r="A76" s="102">
        <v>61</v>
      </c>
      <c r="B76" s="103" t="s">
        <v>824</v>
      </c>
      <c r="C76" s="104" t="s">
        <v>825</v>
      </c>
      <c r="D76" s="105" t="s">
        <v>7</v>
      </c>
      <c r="E76" s="106">
        <v>40</v>
      </c>
      <c r="F76" s="104"/>
      <c r="H76" s="90" t="s">
        <v>8</v>
      </c>
      <c r="O76" s="100"/>
      <c r="P76" s="101"/>
    </row>
    <row r="77" spans="1:16" s="10" customFormat="1" ht="36.75" customHeight="1" x14ac:dyDescent="0.25"/>
    <row r="78" spans="1:16" s="10" customFormat="1" ht="15" x14ac:dyDescent="0.25">
      <c r="B78" s="109"/>
      <c r="D78" s="109"/>
      <c r="F78" s="109"/>
    </row>
    <row r="83" spans="3:3" s="10" customFormat="1" ht="15" x14ac:dyDescent="0.25">
      <c r="C83" s="110"/>
    </row>
    <row r="84" spans="3:3" s="10" customFormat="1" ht="15" x14ac:dyDescent="0.25">
      <c r="C84" s="110"/>
    </row>
    <row r="85" spans="3:3" s="10" customFormat="1" ht="15" x14ac:dyDescent="0.25">
      <c r="C85" s="110"/>
    </row>
  </sheetData>
  <mergeCells count="10">
    <mergeCell ref="D1:F1"/>
    <mergeCell ref="A72:F72"/>
    <mergeCell ref="A3:F3"/>
    <mergeCell ref="A10:F10"/>
    <mergeCell ref="A25:F25"/>
    <mergeCell ref="A30:F30"/>
    <mergeCell ref="A40:F40"/>
    <mergeCell ref="A66:F66"/>
    <mergeCell ref="A5:F5"/>
    <mergeCell ref="A9:F9"/>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d.Document.12" shapeId="12290" r:id="rId4">
          <objectPr defaultSize="0" r:id="rId5">
            <anchor moveWithCells="1" sizeWithCells="1">
              <from>
                <xdr:col>1</xdr:col>
                <xdr:colOff>342900</xdr:colOff>
                <xdr:row>76</xdr:row>
                <xdr:rowOff>247650</xdr:rowOff>
              </from>
              <to>
                <xdr:col>5</xdr:col>
                <xdr:colOff>1971675</xdr:colOff>
                <xdr:row>84</xdr:row>
                <xdr:rowOff>152400</xdr:rowOff>
              </to>
            </anchor>
          </objectPr>
        </oleObject>
      </mc:Choice>
      <mc:Fallback>
        <oleObject progId="Word.Document.12" shapeId="12290"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pageSetUpPr fitToPage="1"/>
  </sheetPr>
  <dimension ref="A1:AD58"/>
  <sheetViews>
    <sheetView view="pageBreakPreview" zoomScale="93" zoomScaleNormal="184" zoomScaleSheetLayoutView="93" workbookViewId="0">
      <selection activeCell="N10" sqref="N10"/>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9"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8" width="107.85546875" style="45" hidden="1" customWidth="1"/>
    <col min="19" max="21" width="49.42578125" style="46" hidden="1" customWidth="1"/>
    <col min="22" max="24" width="47" style="49" hidden="1" customWidth="1"/>
    <col min="25" max="27" width="49.42578125" style="46" hidden="1" customWidth="1"/>
    <col min="28" max="30" width="47" style="49" hidden="1" customWidth="1"/>
    <col min="31" max="16384" width="9.140625" style="44"/>
  </cols>
  <sheetData>
    <row r="1" spans="1:18" ht="27" customHeight="1" x14ac:dyDescent="0.25">
      <c r="A1" s="54"/>
      <c r="B1" s="54"/>
      <c r="C1" s="54"/>
      <c r="D1" s="54"/>
      <c r="E1" s="119" t="s">
        <v>704</v>
      </c>
      <c r="F1" s="120"/>
    </row>
    <row r="2" spans="1:18" ht="11.25" customHeight="1" x14ac:dyDescent="0.2">
      <c r="A2" s="55"/>
      <c r="B2" s="55"/>
      <c r="C2" s="55"/>
      <c r="D2" s="55"/>
      <c r="E2" s="55"/>
      <c r="F2" s="55"/>
    </row>
    <row r="3" spans="1:18" ht="11.25" customHeight="1" x14ac:dyDescent="0.25">
      <c r="A3" s="121" t="s">
        <v>657</v>
      </c>
      <c r="B3" s="122"/>
      <c r="C3" s="122"/>
      <c r="D3" s="122"/>
      <c r="E3" s="122"/>
      <c r="F3" s="122"/>
    </row>
    <row r="4" spans="1:18" ht="29.25" customHeight="1" x14ac:dyDescent="0.2">
      <c r="A4" s="123" t="s">
        <v>654</v>
      </c>
      <c r="B4" s="123"/>
      <c r="C4" s="123"/>
      <c r="D4" s="123"/>
      <c r="E4" s="123"/>
      <c r="F4" s="123"/>
    </row>
    <row r="5" spans="1:18" s="24" customFormat="1" ht="9.75" customHeight="1" x14ac:dyDescent="0.25">
      <c r="A5" s="29"/>
      <c r="B5" s="30"/>
      <c r="C5" s="30"/>
      <c r="D5" s="30"/>
      <c r="E5" s="30"/>
      <c r="F5" s="30"/>
    </row>
    <row r="6" spans="1:18" s="24" customFormat="1" ht="36" customHeight="1" x14ac:dyDescent="0.25">
      <c r="A6" s="31" t="s">
        <v>0</v>
      </c>
      <c r="B6" s="32" t="s">
        <v>1</v>
      </c>
      <c r="C6" s="32" t="s">
        <v>2</v>
      </c>
      <c r="D6" s="32" t="s">
        <v>3</v>
      </c>
      <c r="E6" s="32" t="s">
        <v>4</v>
      </c>
      <c r="F6" s="32" t="s">
        <v>29</v>
      </c>
    </row>
    <row r="7" spans="1:18" s="24" customFormat="1" ht="15" x14ac:dyDescent="0.25">
      <c r="A7" s="33">
        <v>1</v>
      </c>
      <c r="B7" s="34">
        <v>2</v>
      </c>
      <c r="C7" s="34">
        <v>3</v>
      </c>
      <c r="D7" s="34">
        <v>4</v>
      </c>
      <c r="E7" s="34">
        <v>5</v>
      </c>
      <c r="F7" s="34">
        <v>6</v>
      </c>
    </row>
    <row r="8" spans="1:18" s="24" customFormat="1" ht="15" x14ac:dyDescent="0.25">
      <c r="A8" s="124" t="s">
        <v>214</v>
      </c>
      <c r="B8" s="124"/>
      <c r="C8" s="124"/>
      <c r="D8" s="124"/>
      <c r="E8" s="124"/>
      <c r="F8" s="124"/>
      <c r="R8" s="47" t="s">
        <v>214</v>
      </c>
    </row>
    <row r="9" spans="1:18" s="24" customFormat="1" ht="67.5" x14ac:dyDescent="0.25">
      <c r="A9" s="35">
        <f>IF(H9&lt;&gt;"",COUNTA(H$1:H9),"")</f>
        <v>1</v>
      </c>
      <c r="B9" s="36" t="s">
        <v>294</v>
      </c>
      <c r="C9" s="21" t="s">
        <v>215</v>
      </c>
      <c r="D9" s="37" t="s">
        <v>59</v>
      </c>
      <c r="E9" s="38">
        <v>0.2</v>
      </c>
      <c r="F9" s="21" t="s">
        <v>293</v>
      </c>
      <c r="H9" s="44" t="s">
        <v>8</v>
      </c>
      <c r="R9" s="47"/>
    </row>
    <row r="10" spans="1:18" s="24" customFormat="1" ht="45" x14ac:dyDescent="0.25">
      <c r="A10" s="35">
        <f>IF(H10&lt;&gt;"",COUNTA(H$1:H10),"")</f>
        <v>2</v>
      </c>
      <c r="B10" s="36" t="s">
        <v>34</v>
      </c>
      <c r="C10" s="21" t="s">
        <v>217</v>
      </c>
      <c r="D10" s="37" t="s">
        <v>59</v>
      </c>
      <c r="E10" s="38">
        <v>0.5</v>
      </c>
      <c r="F10" s="21" t="s">
        <v>219</v>
      </c>
      <c r="H10" s="44" t="s">
        <v>8</v>
      </c>
      <c r="R10" s="47"/>
    </row>
    <row r="11" spans="1:18" s="24" customFormat="1" ht="67.5" x14ac:dyDescent="0.25">
      <c r="A11" s="35">
        <f>IF(H11&lt;&gt;"",COUNTA(H$1:H11),"")</f>
        <v>3</v>
      </c>
      <c r="B11" s="36" t="s">
        <v>296</v>
      </c>
      <c r="C11" s="21" t="s">
        <v>221</v>
      </c>
      <c r="D11" s="37" t="s">
        <v>59</v>
      </c>
      <c r="E11" s="38">
        <v>3</v>
      </c>
      <c r="F11" s="21" t="s">
        <v>295</v>
      </c>
      <c r="H11" s="44" t="s">
        <v>8</v>
      </c>
      <c r="R11" s="47"/>
    </row>
    <row r="12" spans="1:18" s="24" customFormat="1" ht="45" x14ac:dyDescent="0.25">
      <c r="A12" s="35">
        <f>IF(H12&lt;&gt;"",COUNTA(H$1:H12),"")</f>
        <v>4</v>
      </c>
      <c r="B12" s="36" t="s">
        <v>14</v>
      </c>
      <c r="C12" s="21" t="s">
        <v>223</v>
      </c>
      <c r="D12" s="37" t="s">
        <v>59</v>
      </c>
      <c r="E12" s="38">
        <v>3.7</v>
      </c>
      <c r="F12" s="21"/>
      <c r="H12" s="44" t="s">
        <v>8</v>
      </c>
      <c r="R12" s="47"/>
    </row>
    <row r="13" spans="1:18" s="24" customFormat="1" ht="22.5" x14ac:dyDescent="0.25">
      <c r="A13" s="35">
        <f>IF(H13&lt;&gt;"",COUNTA(H$1:H13),"")</f>
        <v>5</v>
      </c>
      <c r="B13" s="36" t="s">
        <v>297</v>
      </c>
      <c r="C13" s="21" t="s">
        <v>224</v>
      </c>
      <c r="D13" s="37" t="s">
        <v>7</v>
      </c>
      <c r="E13" s="40">
        <v>1</v>
      </c>
      <c r="F13" s="21" t="s">
        <v>226</v>
      </c>
      <c r="H13" s="44" t="s">
        <v>8</v>
      </c>
      <c r="R13" s="47"/>
    </row>
    <row r="14" spans="1:18" s="24" customFormat="1" ht="22.5" x14ac:dyDescent="0.25">
      <c r="A14" s="35">
        <f>IF(H14&lt;&gt;"",COUNTA(H$1:H14),"")</f>
        <v>6</v>
      </c>
      <c r="B14" s="36" t="s">
        <v>298</v>
      </c>
      <c r="C14" s="21" t="s">
        <v>227</v>
      </c>
      <c r="D14" s="37" t="s">
        <v>7</v>
      </c>
      <c r="E14" s="38">
        <v>1</v>
      </c>
      <c r="F14" s="21" t="s">
        <v>228</v>
      </c>
      <c r="H14" s="44" t="s">
        <v>8</v>
      </c>
      <c r="R14" s="47"/>
    </row>
    <row r="15" spans="1:18" s="24" customFormat="1" ht="33.75" x14ac:dyDescent="0.25">
      <c r="A15" s="35">
        <f>IF(H15&lt;&gt;"",COUNTA(H$1:H15),"")</f>
        <v>7</v>
      </c>
      <c r="B15" s="36" t="s">
        <v>300</v>
      </c>
      <c r="C15" s="21" t="s">
        <v>230</v>
      </c>
      <c r="D15" s="37" t="s">
        <v>231</v>
      </c>
      <c r="E15" s="40">
        <v>1</v>
      </c>
      <c r="F15" s="21" t="s">
        <v>299</v>
      </c>
      <c r="H15" s="44" t="s">
        <v>8</v>
      </c>
      <c r="R15" s="47"/>
    </row>
    <row r="16" spans="1:18" s="24" customFormat="1" ht="45" x14ac:dyDescent="0.25">
      <c r="A16" s="35">
        <f>IF(H16&lt;&gt;"",COUNTA(H$1:H16),"")</f>
        <v>8</v>
      </c>
      <c r="B16" s="36" t="s">
        <v>20</v>
      </c>
      <c r="C16" s="21" t="s">
        <v>232</v>
      </c>
      <c r="D16" s="37" t="s">
        <v>7</v>
      </c>
      <c r="E16" s="38">
        <v>6</v>
      </c>
      <c r="F16" s="21"/>
      <c r="H16" s="44" t="s">
        <v>8</v>
      </c>
      <c r="R16" s="47"/>
    </row>
    <row r="17" spans="1:18" s="24" customFormat="1" ht="15" x14ac:dyDescent="0.25">
      <c r="A17" s="35">
        <f>IF(H17&lt;&gt;"",COUNTA(H$1:H17),"")</f>
        <v>9</v>
      </c>
      <c r="B17" s="36" t="s">
        <v>233</v>
      </c>
      <c r="C17" s="21" t="s">
        <v>234</v>
      </c>
      <c r="D17" s="37" t="s">
        <v>7</v>
      </c>
      <c r="E17" s="40">
        <v>6</v>
      </c>
      <c r="F17" s="21"/>
      <c r="H17" s="44" t="s">
        <v>8</v>
      </c>
      <c r="R17" s="47"/>
    </row>
    <row r="18" spans="1:18" s="24" customFormat="1" ht="15" x14ac:dyDescent="0.25">
      <c r="A18" s="35">
        <f>IF(H18&lt;&gt;"",COUNTA(H$1:H18),"")</f>
        <v>10</v>
      </c>
      <c r="B18" s="36" t="s">
        <v>22</v>
      </c>
      <c r="C18" s="21" t="s">
        <v>235</v>
      </c>
      <c r="D18" s="37" t="s">
        <v>7</v>
      </c>
      <c r="E18" s="40">
        <v>1</v>
      </c>
      <c r="F18" s="21"/>
      <c r="H18" s="44" t="s">
        <v>8</v>
      </c>
      <c r="R18" s="47"/>
    </row>
    <row r="19" spans="1:18" s="24" customFormat="1" ht="45" x14ac:dyDescent="0.25">
      <c r="A19" s="35">
        <f>IF(H19&lt;&gt;"",COUNTA(H$1:H19),"")</f>
        <v>11</v>
      </c>
      <c r="B19" s="36" t="s">
        <v>302</v>
      </c>
      <c r="C19" s="21" t="s">
        <v>236</v>
      </c>
      <c r="D19" s="37" t="s">
        <v>59</v>
      </c>
      <c r="E19" s="38">
        <v>3</v>
      </c>
      <c r="F19" s="21" t="s">
        <v>301</v>
      </c>
      <c r="H19" s="44" t="s">
        <v>8</v>
      </c>
      <c r="R19" s="47"/>
    </row>
    <row r="20" spans="1:18" s="24" customFormat="1" ht="15" x14ac:dyDescent="0.25">
      <c r="A20" s="124" t="s">
        <v>238</v>
      </c>
      <c r="B20" s="124"/>
      <c r="C20" s="124"/>
      <c r="D20" s="124"/>
      <c r="E20" s="124"/>
      <c r="F20" s="124"/>
      <c r="R20" s="47" t="s">
        <v>238</v>
      </c>
    </row>
    <row r="21" spans="1:18" s="24" customFormat="1" ht="45" x14ac:dyDescent="0.25">
      <c r="A21" s="35">
        <f>IF(H21&lt;&gt;"",COUNTA(H$1:H21),"")</f>
        <v>12</v>
      </c>
      <c r="B21" s="36" t="s">
        <v>304</v>
      </c>
      <c r="C21" s="21" t="s">
        <v>215</v>
      </c>
      <c r="D21" s="37" t="s">
        <v>59</v>
      </c>
      <c r="E21" s="38">
        <v>95</v>
      </c>
      <c r="F21" s="21" t="s">
        <v>303</v>
      </c>
      <c r="H21" s="44" t="s">
        <v>8</v>
      </c>
      <c r="R21" s="47"/>
    </row>
    <row r="22" spans="1:18" s="24" customFormat="1" ht="67.5" x14ac:dyDescent="0.25">
      <c r="A22" s="35">
        <f>IF(H22&lt;&gt;"",COUNTA(H$1:H22),"")</f>
        <v>13</v>
      </c>
      <c r="B22" s="36" t="s">
        <v>306</v>
      </c>
      <c r="C22" s="21" t="s">
        <v>217</v>
      </c>
      <c r="D22" s="37" t="s">
        <v>59</v>
      </c>
      <c r="E22" s="38">
        <v>12</v>
      </c>
      <c r="F22" s="21" t="s">
        <v>305</v>
      </c>
      <c r="H22" s="44" t="s">
        <v>8</v>
      </c>
      <c r="R22" s="47"/>
    </row>
    <row r="23" spans="1:18" s="24" customFormat="1" ht="67.5" x14ac:dyDescent="0.25">
      <c r="A23" s="35">
        <f>IF(H23&lt;&gt;"",COUNTA(H$1:H23),"")</f>
        <v>14</v>
      </c>
      <c r="B23" s="36" t="s">
        <v>308</v>
      </c>
      <c r="C23" s="21" t="s">
        <v>242</v>
      </c>
      <c r="D23" s="37" t="s">
        <v>59</v>
      </c>
      <c r="E23" s="38">
        <v>55</v>
      </c>
      <c r="F23" s="21" t="s">
        <v>307</v>
      </c>
      <c r="H23" s="44" t="s">
        <v>8</v>
      </c>
      <c r="R23" s="47"/>
    </row>
    <row r="24" spans="1:18" s="24" customFormat="1" ht="67.5" x14ac:dyDescent="0.25">
      <c r="A24" s="35">
        <f>IF(H24&lt;&gt;"",COUNTA(H$1:H24),"")</f>
        <v>15</v>
      </c>
      <c r="B24" s="36" t="s">
        <v>309</v>
      </c>
      <c r="C24" s="21" t="s">
        <v>221</v>
      </c>
      <c r="D24" s="37" t="s">
        <v>59</v>
      </c>
      <c r="E24" s="38">
        <v>80</v>
      </c>
      <c r="F24" s="21" t="s">
        <v>295</v>
      </c>
      <c r="H24" s="44" t="s">
        <v>8</v>
      </c>
      <c r="R24" s="47"/>
    </row>
    <row r="25" spans="1:18" s="24" customFormat="1" ht="33.75" x14ac:dyDescent="0.25">
      <c r="A25" s="35">
        <f>IF(H25&lt;&gt;"",COUNTA(H$1:H25),"")</f>
        <v>16</v>
      </c>
      <c r="B25" s="36" t="s">
        <v>246</v>
      </c>
      <c r="C25" s="21" t="s">
        <v>247</v>
      </c>
      <c r="D25" s="37" t="s">
        <v>7</v>
      </c>
      <c r="E25" s="38">
        <v>12</v>
      </c>
      <c r="F25" s="21"/>
      <c r="H25" s="44" t="s">
        <v>8</v>
      </c>
      <c r="R25" s="47"/>
    </row>
    <row r="26" spans="1:18" s="24" customFormat="1" ht="33.75" x14ac:dyDescent="0.25">
      <c r="A26" s="35">
        <f>IF(H26&lt;&gt;"",COUNTA(H$1:H26),"")</f>
        <v>17</v>
      </c>
      <c r="B26" s="36" t="s">
        <v>248</v>
      </c>
      <c r="C26" s="21" t="s">
        <v>249</v>
      </c>
      <c r="D26" s="37" t="s">
        <v>7</v>
      </c>
      <c r="E26" s="38">
        <v>60</v>
      </c>
      <c r="F26" s="21"/>
      <c r="H26" s="44" t="s">
        <v>8</v>
      </c>
      <c r="R26" s="47"/>
    </row>
    <row r="27" spans="1:18" s="24" customFormat="1" ht="15" x14ac:dyDescent="0.25">
      <c r="A27" s="35">
        <f>IF(H27&lt;&gt;"",COUNTA(H$1:H27),"")</f>
        <v>18</v>
      </c>
      <c r="B27" s="36" t="s">
        <v>250</v>
      </c>
      <c r="C27" s="21" t="s">
        <v>234</v>
      </c>
      <c r="D27" s="37" t="s">
        <v>7</v>
      </c>
      <c r="E27" s="40">
        <v>80</v>
      </c>
      <c r="F27" s="21"/>
      <c r="H27" s="44" t="s">
        <v>8</v>
      </c>
      <c r="R27" s="47"/>
    </row>
    <row r="28" spans="1:18" s="24" customFormat="1" ht="15" x14ac:dyDescent="0.25">
      <c r="A28" s="35">
        <f>IF(H28&lt;&gt;"",COUNTA(H$1:H28),"")</f>
        <v>19</v>
      </c>
      <c r="B28" s="36" t="s">
        <v>251</v>
      </c>
      <c r="C28" s="21" t="s">
        <v>235</v>
      </c>
      <c r="D28" s="37" t="s">
        <v>7</v>
      </c>
      <c r="E28" s="40">
        <v>12</v>
      </c>
      <c r="F28" s="21"/>
      <c r="H28" s="44" t="s">
        <v>8</v>
      </c>
      <c r="R28" s="47"/>
    </row>
    <row r="29" spans="1:18" s="24" customFormat="1" ht="45" x14ac:dyDescent="0.25">
      <c r="A29" s="35">
        <f>IF(H29&lt;&gt;"",COUNTA(H$1:H29),"")</f>
        <v>20</v>
      </c>
      <c r="B29" s="36" t="s">
        <v>311</v>
      </c>
      <c r="C29" s="21" t="s">
        <v>236</v>
      </c>
      <c r="D29" s="37" t="s">
        <v>59</v>
      </c>
      <c r="E29" s="38">
        <v>72</v>
      </c>
      <c r="F29" s="21" t="s">
        <v>310</v>
      </c>
      <c r="H29" s="44" t="s">
        <v>8</v>
      </c>
      <c r="R29" s="47"/>
    </row>
    <row r="30" spans="1:18" s="24" customFormat="1" ht="45" x14ac:dyDescent="0.25">
      <c r="A30" s="35">
        <f>IF(H30&lt;&gt;"",COUNTA(H$1:H30),"")</f>
        <v>21</v>
      </c>
      <c r="B30" s="36" t="s">
        <v>253</v>
      </c>
      <c r="C30" s="21" t="s">
        <v>223</v>
      </c>
      <c r="D30" s="37" t="s">
        <v>59</v>
      </c>
      <c r="E30" s="38">
        <v>242</v>
      </c>
      <c r="F30" s="21"/>
      <c r="H30" s="44" t="s">
        <v>8</v>
      </c>
      <c r="R30" s="47"/>
    </row>
    <row r="31" spans="1:18" s="24" customFormat="1" ht="15" x14ac:dyDescent="0.25">
      <c r="A31" s="124" t="s">
        <v>254</v>
      </c>
      <c r="B31" s="124"/>
      <c r="C31" s="124"/>
      <c r="D31" s="124"/>
      <c r="E31" s="124"/>
      <c r="F31" s="124"/>
      <c r="R31" s="47" t="s">
        <v>254</v>
      </c>
    </row>
    <row r="32" spans="1:18" s="24" customFormat="1" ht="45" x14ac:dyDescent="0.25">
      <c r="A32" s="35">
        <f>IF(H32&lt;&gt;"",COUNTA(H$1:H32),"")</f>
        <v>22</v>
      </c>
      <c r="B32" s="36" t="s">
        <v>312</v>
      </c>
      <c r="C32" s="21" t="s">
        <v>215</v>
      </c>
      <c r="D32" s="37" t="s">
        <v>59</v>
      </c>
      <c r="E32" s="38">
        <v>140</v>
      </c>
      <c r="F32" s="21" t="s">
        <v>303</v>
      </c>
      <c r="H32" s="44" t="s">
        <v>8</v>
      </c>
      <c r="R32" s="47"/>
    </row>
    <row r="33" spans="1:18" s="24" customFormat="1" ht="67.5" x14ac:dyDescent="0.25">
      <c r="A33" s="35">
        <f>IF(H33&lt;&gt;"",COUNTA(H$1:H33),"")</f>
        <v>23</v>
      </c>
      <c r="B33" s="36" t="s">
        <v>313</v>
      </c>
      <c r="C33" s="21" t="s">
        <v>217</v>
      </c>
      <c r="D33" s="37" t="s">
        <v>59</v>
      </c>
      <c r="E33" s="38">
        <v>24</v>
      </c>
      <c r="F33" s="21" t="s">
        <v>305</v>
      </c>
      <c r="H33" s="44" t="s">
        <v>8</v>
      </c>
      <c r="R33" s="47"/>
    </row>
    <row r="34" spans="1:18" s="24" customFormat="1" ht="67.5" x14ac:dyDescent="0.25">
      <c r="A34" s="35">
        <f>IF(H34&lt;&gt;"",COUNTA(H$1:H34),"")</f>
        <v>24</v>
      </c>
      <c r="B34" s="36" t="s">
        <v>314</v>
      </c>
      <c r="C34" s="21" t="s">
        <v>242</v>
      </c>
      <c r="D34" s="37" t="s">
        <v>59</v>
      </c>
      <c r="E34" s="38">
        <v>87</v>
      </c>
      <c r="F34" s="21" t="s">
        <v>307</v>
      </c>
      <c r="H34" s="44" t="s">
        <v>8</v>
      </c>
      <c r="R34" s="47"/>
    </row>
    <row r="35" spans="1:18" s="24" customFormat="1" ht="45" x14ac:dyDescent="0.25">
      <c r="A35" s="35">
        <f>IF(H35&lt;&gt;"",COUNTA(H$1:H35),"")</f>
        <v>25</v>
      </c>
      <c r="B35" s="36" t="s">
        <v>126</v>
      </c>
      <c r="C35" s="21" t="s">
        <v>221</v>
      </c>
      <c r="D35" s="37" t="s">
        <v>59</v>
      </c>
      <c r="E35" s="38">
        <v>121</v>
      </c>
      <c r="F35" s="21" t="s">
        <v>222</v>
      </c>
      <c r="H35" s="44" t="s">
        <v>8</v>
      </c>
      <c r="R35" s="47"/>
    </row>
    <row r="36" spans="1:18" s="24" customFormat="1" ht="33.75" x14ac:dyDescent="0.25">
      <c r="A36" s="35">
        <f>IF(H36&lt;&gt;"",COUNTA(H$1:H36),"")</f>
        <v>26</v>
      </c>
      <c r="B36" s="36" t="s">
        <v>262</v>
      </c>
      <c r="C36" s="21" t="s">
        <v>247</v>
      </c>
      <c r="D36" s="37" t="s">
        <v>7</v>
      </c>
      <c r="E36" s="38">
        <v>59</v>
      </c>
      <c r="F36" s="21"/>
      <c r="H36" s="44" t="s">
        <v>8</v>
      </c>
      <c r="R36" s="47"/>
    </row>
    <row r="37" spans="1:18" s="24" customFormat="1" ht="33.75" x14ac:dyDescent="0.25">
      <c r="A37" s="35">
        <f>IF(H37&lt;&gt;"",COUNTA(H$1:H37),"")</f>
        <v>27</v>
      </c>
      <c r="B37" s="36" t="s">
        <v>263</v>
      </c>
      <c r="C37" s="21" t="s">
        <v>249</v>
      </c>
      <c r="D37" s="37" t="s">
        <v>7</v>
      </c>
      <c r="E37" s="38">
        <v>62</v>
      </c>
      <c r="F37" s="21"/>
      <c r="H37" s="44" t="s">
        <v>8</v>
      </c>
      <c r="R37" s="47"/>
    </row>
    <row r="38" spans="1:18" s="24" customFormat="1" ht="15" x14ac:dyDescent="0.25">
      <c r="A38" s="35">
        <f>IF(H38&lt;&gt;"",COUNTA(H$1:H38),"")</f>
        <v>28</v>
      </c>
      <c r="B38" s="36" t="s">
        <v>264</v>
      </c>
      <c r="C38" s="21" t="s">
        <v>234</v>
      </c>
      <c r="D38" s="37" t="s">
        <v>7</v>
      </c>
      <c r="E38" s="40">
        <v>62</v>
      </c>
      <c r="F38" s="21"/>
      <c r="H38" s="44" t="s">
        <v>8</v>
      </c>
      <c r="R38" s="47"/>
    </row>
    <row r="39" spans="1:18" s="24" customFormat="1" ht="15" x14ac:dyDescent="0.25">
      <c r="A39" s="35">
        <f>IF(H39&lt;&gt;"",COUNTA(H$1:H39),"")</f>
        <v>29</v>
      </c>
      <c r="B39" s="36" t="s">
        <v>265</v>
      </c>
      <c r="C39" s="21" t="s">
        <v>235</v>
      </c>
      <c r="D39" s="37" t="s">
        <v>7</v>
      </c>
      <c r="E39" s="40">
        <v>12</v>
      </c>
      <c r="F39" s="21"/>
      <c r="H39" s="44" t="s">
        <v>8</v>
      </c>
      <c r="R39" s="47"/>
    </row>
    <row r="40" spans="1:18" s="24" customFormat="1" ht="45" x14ac:dyDescent="0.25">
      <c r="A40" s="35">
        <f>IF(H40&lt;&gt;"",COUNTA(H$1:H40),"")</f>
        <v>30</v>
      </c>
      <c r="B40" s="36" t="s">
        <v>315</v>
      </c>
      <c r="C40" s="21" t="s">
        <v>236</v>
      </c>
      <c r="D40" s="37" t="s">
        <v>59</v>
      </c>
      <c r="E40" s="38">
        <v>74</v>
      </c>
      <c r="F40" s="21" t="s">
        <v>310</v>
      </c>
      <c r="H40" s="44" t="s">
        <v>8</v>
      </c>
      <c r="R40" s="47"/>
    </row>
    <row r="41" spans="1:18" s="24" customFormat="1" ht="45" x14ac:dyDescent="0.25">
      <c r="A41" s="35">
        <f>IF(H41&lt;&gt;"",COUNTA(H$1:H41),"")</f>
        <v>31</v>
      </c>
      <c r="B41" s="36" t="s">
        <v>268</v>
      </c>
      <c r="C41" s="21" t="s">
        <v>223</v>
      </c>
      <c r="D41" s="37" t="s">
        <v>59</v>
      </c>
      <c r="E41" s="38">
        <v>372</v>
      </c>
      <c r="F41" s="21"/>
      <c r="H41" s="44" t="s">
        <v>8</v>
      </c>
      <c r="R41" s="47"/>
    </row>
    <row r="42" spans="1:18" s="24" customFormat="1" ht="15" x14ac:dyDescent="0.25">
      <c r="A42" s="124" t="s">
        <v>269</v>
      </c>
      <c r="B42" s="124"/>
      <c r="C42" s="124"/>
      <c r="D42" s="124"/>
      <c r="E42" s="124"/>
      <c r="F42" s="124"/>
      <c r="R42" s="47" t="s">
        <v>269</v>
      </c>
    </row>
    <row r="43" spans="1:18" s="24" customFormat="1" ht="123.75" x14ac:dyDescent="0.25">
      <c r="A43" s="35">
        <f>IF(H43&lt;&gt;"",COUNTA(H$1:H43),"")</f>
        <v>32</v>
      </c>
      <c r="B43" s="36" t="s">
        <v>328</v>
      </c>
      <c r="C43" s="21" t="s">
        <v>271</v>
      </c>
      <c r="D43" s="37" t="s">
        <v>59</v>
      </c>
      <c r="E43" s="38">
        <v>84</v>
      </c>
      <c r="F43" s="21" t="s">
        <v>329</v>
      </c>
      <c r="H43" s="44" t="s">
        <v>8</v>
      </c>
      <c r="R43" s="47"/>
    </row>
    <row r="44" spans="1:18" s="24" customFormat="1" ht="168.75" x14ac:dyDescent="0.25">
      <c r="A44" s="35">
        <f>IF(H44&lt;&gt;"",COUNTA(H$1:H44),"")</f>
        <v>33</v>
      </c>
      <c r="B44" s="36" t="s">
        <v>317</v>
      </c>
      <c r="C44" s="21" t="s">
        <v>273</v>
      </c>
      <c r="D44" s="37" t="s">
        <v>59</v>
      </c>
      <c r="E44" s="38">
        <v>148</v>
      </c>
      <c r="F44" s="21" t="s">
        <v>316</v>
      </c>
      <c r="H44" s="44" t="s">
        <v>8</v>
      </c>
      <c r="R44" s="47"/>
    </row>
    <row r="45" spans="1:18" s="24" customFormat="1" ht="56.25" x14ac:dyDescent="0.25">
      <c r="A45" s="35">
        <f>IF(H45&lt;&gt;"",COUNTA(H$1:H45),"")</f>
        <v>34</v>
      </c>
      <c r="B45" s="36" t="s">
        <v>318</v>
      </c>
      <c r="C45" s="21" t="s">
        <v>274</v>
      </c>
      <c r="D45" s="37" t="s">
        <v>7</v>
      </c>
      <c r="E45" s="38">
        <v>19</v>
      </c>
      <c r="F45" s="21" t="s">
        <v>275</v>
      </c>
      <c r="H45" s="44" t="s">
        <v>8</v>
      </c>
      <c r="R45" s="47"/>
    </row>
    <row r="46" spans="1:18" s="24" customFormat="1" ht="22.5" x14ac:dyDescent="0.25">
      <c r="A46" s="35">
        <f>IF(H46&lt;&gt;"",COUNTA(H$1:H46),"")</f>
        <v>35</v>
      </c>
      <c r="B46" s="36" t="s">
        <v>319</v>
      </c>
      <c r="C46" s="21" t="s">
        <v>327</v>
      </c>
      <c r="D46" s="37" t="s">
        <v>7</v>
      </c>
      <c r="E46" s="38">
        <v>3</v>
      </c>
      <c r="F46" s="21" t="s">
        <v>276</v>
      </c>
      <c r="H46" s="44" t="s">
        <v>8</v>
      </c>
      <c r="R46" s="47"/>
    </row>
    <row r="47" spans="1:18" s="24" customFormat="1" ht="15" x14ac:dyDescent="0.25">
      <c r="A47" s="35">
        <f>IF(H47&lt;&gt;"",COUNTA(H$1:H47),"")</f>
        <v>36</v>
      </c>
      <c r="B47" s="36" t="s">
        <v>277</v>
      </c>
      <c r="C47" s="21" t="s">
        <v>278</v>
      </c>
      <c r="D47" s="37" t="s">
        <v>7</v>
      </c>
      <c r="E47" s="40">
        <v>98</v>
      </c>
      <c r="F47" s="21"/>
      <c r="H47" s="44" t="s">
        <v>8</v>
      </c>
      <c r="R47" s="47"/>
    </row>
    <row r="48" spans="1:18" s="24" customFormat="1" ht="15" x14ac:dyDescent="0.25">
      <c r="A48" s="35">
        <f>IF(H48&lt;&gt;"",COUNTA(H$1:H48),"")</f>
        <v>37</v>
      </c>
      <c r="B48" s="36" t="s">
        <v>95</v>
      </c>
      <c r="C48" s="21" t="s">
        <v>234</v>
      </c>
      <c r="D48" s="37" t="s">
        <v>7</v>
      </c>
      <c r="E48" s="40">
        <v>80</v>
      </c>
      <c r="F48" s="21"/>
      <c r="H48" s="44" t="s">
        <v>8</v>
      </c>
      <c r="R48" s="47"/>
    </row>
    <row r="49" spans="1:18" s="24" customFormat="1" ht="15" x14ac:dyDescent="0.25">
      <c r="A49" s="35">
        <f>IF(H49&lt;&gt;"",COUNTA(H$1:H49),"")</f>
        <v>38</v>
      </c>
      <c r="B49" s="36" t="s">
        <v>97</v>
      </c>
      <c r="C49" s="21" t="s">
        <v>235</v>
      </c>
      <c r="D49" s="37" t="s">
        <v>7</v>
      </c>
      <c r="E49" s="40">
        <v>12</v>
      </c>
      <c r="F49" s="21"/>
      <c r="H49" s="44" t="s">
        <v>8</v>
      </c>
      <c r="R49" s="47"/>
    </row>
    <row r="50" spans="1:18" s="24" customFormat="1" ht="15" x14ac:dyDescent="0.25">
      <c r="A50" s="35">
        <f>IF(H50&lt;&gt;"",COUNTA(H$1:H50),"")</f>
        <v>39</v>
      </c>
      <c r="B50" s="36" t="s">
        <v>279</v>
      </c>
      <c r="C50" s="21" t="s">
        <v>280</v>
      </c>
      <c r="D50" s="37" t="s">
        <v>7</v>
      </c>
      <c r="E50" s="40">
        <v>16</v>
      </c>
      <c r="F50" s="21"/>
      <c r="H50" s="44" t="s">
        <v>8</v>
      </c>
      <c r="R50" s="47"/>
    </row>
    <row r="51" spans="1:18" s="24" customFormat="1" ht="67.5" x14ac:dyDescent="0.25">
      <c r="A51" s="35">
        <f>IF(H51&lt;&gt;"",COUNTA(H$1:H51),"")</f>
        <v>40</v>
      </c>
      <c r="B51" s="36" t="s">
        <v>321</v>
      </c>
      <c r="C51" s="21" t="s">
        <v>281</v>
      </c>
      <c r="D51" s="37" t="s">
        <v>231</v>
      </c>
      <c r="E51" s="38">
        <v>21</v>
      </c>
      <c r="F51" s="21" t="s">
        <v>320</v>
      </c>
      <c r="H51" s="44" t="s">
        <v>8</v>
      </c>
      <c r="R51" s="47"/>
    </row>
    <row r="52" spans="1:18" s="24" customFormat="1" ht="78.75" x14ac:dyDescent="0.25">
      <c r="A52" s="35">
        <f>IF(H52&lt;&gt;"",COUNTA(H$1:H52),"")</f>
        <v>41</v>
      </c>
      <c r="B52" s="36" t="s">
        <v>323</v>
      </c>
      <c r="C52" s="21" t="s">
        <v>282</v>
      </c>
      <c r="D52" s="37" t="s">
        <v>231</v>
      </c>
      <c r="E52" s="38">
        <v>10</v>
      </c>
      <c r="F52" s="21" t="s">
        <v>322</v>
      </c>
      <c r="H52" s="44" t="s">
        <v>8</v>
      </c>
      <c r="R52" s="47"/>
    </row>
    <row r="53" spans="1:18" s="24" customFormat="1" ht="56.25" x14ac:dyDescent="0.25">
      <c r="A53" s="35">
        <f>IF(H53&lt;&gt;"",COUNTA(H$1:H53),"")</f>
        <v>42</v>
      </c>
      <c r="B53" s="36" t="s">
        <v>144</v>
      </c>
      <c r="C53" s="21" t="s">
        <v>285</v>
      </c>
      <c r="D53" s="37" t="s">
        <v>231</v>
      </c>
      <c r="E53" s="38">
        <v>2</v>
      </c>
      <c r="F53" s="21" t="s">
        <v>324</v>
      </c>
      <c r="H53" s="44" t="s">
        <v>8</v>
      </c>
      <c r="R53" s="47"/>
    </row>
    <row r="54" spans="1:18" s="24" customFormat="1" ht="90" x14ac:dyDescent="0.25">
      <c r="A54" s="35">
        <f>IF(H54&lt;&gt;"",COUNTA(H$1:H54),"")</f>
        <v>43</v>
      </c>
      <c r="B54" s="36" t="s">
        <v>326</v>
      </c>
      <c r="C54" s="21" t="s">
        <v>288</v>
      </c>
      <c r="D54" s="37" t="s">
        <v>231</v>
      </c>
      <c r="E54" s="38">
        <v>1</v>
      </c>
      <c r="F54" s="21" t="s">
        <v>325</v>
      </c>
      <c r="H54" s="44" t="s">
        <v>8</v>
      </c>
      <c r="R54" s="47"/>
    </row>
    <row r="55" spans="1:18" s="24" customFormat="1" ht="33.75" x14ac:dyDescent="0.25">
      <c r="A55" s="35">
        <f>IF(H55&lt;&gt;"",COUNTA(H$1:H55),"")</f>
        <v>44</v>
      </c>
      <c r="B55" s="36" t="s">
        <v>291</v>
      </c>
      <c r="C55" s="21" t="s">
        <v>292</v>
      </c>
      <c r="D55" s="37" t="s">
        <v>7</v>
      </c>
      <c r="E55" s="38">
        <v>58</v>
      </c>
      <c r="F55" s="21"/>
      <c r="H55" s="44" t="s">
        <v>8</v>
      </c>
      <c r="R55" s="47"/>
    </row>
    <row r="56" spans="1:18" ht="11.25" customHeight="1" x14ac:dyDescent="0.2">
      <c r="A56" s="27"/>
      <c r="B56" s="28"/>
      <c r="C56" s="28"/>
      <c r="D56" s="28"/>
      <c r="E56" s="28"/>
      <c r="F56" s="28"/>
    </row>
    <row r="57" spans="1:18" s="24" customFormat="1" ht="15" x14ac:dyDescent="0.25">
      <c r="A57" s="30"/>
      <c r="B57" s="50"/>
      <c r="C57" s="30"/>
      <c r="D57" s="50"/>
      <c r="E57" s="30"/>
      <c r="F57" s="50"/>
    </row>
    <row r="58" spans="1:18" ht="11.25" customHeight="1" x14ac:dyDescent="0.2">
      <c r="A58" s="27"/>
      <c r="B58" s="28"/>
      <c r="C58" s="28"/>
      <c r="D58" s="28"/>
      <c r="E58" s="28"/>
      <c r="F58" s="28"/>
    </row>
  </sheetData>
  <mergeCells count="7">
    <mergeCell ref="E1:F1"/>
    <mergeCell ref="A3:F3"/>
    <mergeCell ref="A4:F4"/>
    <mergeCell ref="A42:F42"/>
    <mergeCell ref="A8:F8"/>
    <mergeCell ref="A20:F20"/>
    <mergeCell ref="A31:F31"/>
  </mergeCells>
  <printOptions horizontalCentered="1"/>
  <pageMargins left="0.78740155696868896" right="0.31496062874794001" top="0.31496062874794001" bottom="0.31496062874794001" header="0.19685038924217199" footer="0.19685038924217199"/>
  <pageSetup paperSize="9" scale="91"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6145" r:id="rId4">
          <objectPr defaultSize="0" r:id="rId5">
            <anchor moveWithCells="1" sizeWithCells="1">
              <from>
                <xdr:col>0</xdr:col>
                <xdr:colOff>0</xdr:colOff>
                <xdr:row>58</xdr:row>
                <xdr:rowOff>104775</xdr:rowOff>
              </from>
              <to>
                <xdr:col>5</xdr:col>
                <xdr:colOff>2438400</xdr:colOff>
                <xdr:row>69</xdr:row>
                <xdr:rowOff>47625</xdr:rowOff>
              </to>
            </anchor>
          </objectPr>
        </oleObject>
      </mc:Choice>
      <mc:Fallback>
        <oleObject progId="Word.Document.12" shapeId="614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pageSetUpPr fitToPage="1"/>
  </sheetPr>
  <dimension ref="A1:AD33"/>
  <sheetViews>
    <sheetView view="pageBreakPreview" zoomScale="86" zoomScaleNormal="184" zoomScaleSheetLayoutView="86" workbookViewId="0">
      <selection activeCell="E1" sqref="E1:F1"/>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42.14062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8" width="107.85546875" style="45" hidden="1" customWidth="1"/>
    <col min="19" max="21" width="49.42578125" style="46" hidden="1" customWidth="1"/>
    <col min="22" max="24" width="47" style="49" hidden="1" customWidth="1"/>
    <col min="25" max="27" width="49.42578125" style="46" hidden="1" customWidth="1"/>
    <col min="28" max="30" width="47" style="49" hidden="1" customWidth="1"/>
    <col min="31" max="16384" width="9.140625" style="44"/>
  </cols>
  <sheetData>
    <row r="1" spans="1:18" ht="27.75" customHeight="1" x14ac:dyDescent="0.25">
      <c r="A1" s="54"/>
      <c r="B1" s="54"/>
      <c r="C1" s="54"/>
      <c r="D1" s="54"/>
      <c r="E1" s="119" t="s">
        <v>705</v>
      </c>
      <c r="F1" s="120"/>
    </row>
    <row r="2" spans="1:18" ht="11.25" customHeight="1" x14ac:dyDescent="0.2">
      <c r="A2" s="55"/>
      <c r="B2" s="55"/>
      <c r="C2" s="55"/>
      <c r="D2" s="55"/>
      <c r="E2" s="55"/>
      <c r="F2" s="55"/>
    </row>
    <row r="3" spans="1:18" ht="11.25" customHeight="1" x14ac:dyDescent="0.25">
      <c r="A3" s="121" t="s">
        <v>658</v>
      </c>
      <c r="B3" s="122"/>
      <c r="C3" s="122"/>
      <c r="D3" s="122"/>
      <c r="E3" s="122"/>
      <c r="F3" s="122"/>
    </row>
    <row r="4" spans="1:18" ht="11.25" customHeight="1" x14ac:dyDescent="0.2">
      <c r="A4" s="123" t="s">
        <v>654</v>
      </c>
      <c r="B4" s="123"/>
      <c r="C4" s="123"/>
      <c r="D4" s="123"/>
      <c r="E4" s="123"/>
      <c r="F4" s="123"/>
    </row>
    <row r="5" spans="1:18" s="24" customFormat="1" ht="9.75" customHeight="1" x14ac:dyDescent="0.25">
      <c r="A5" s="29"/>
      <c r="B5" s="30"/>
      <c r="C5" s="30"/>
      <c r="D5" s="30"/>
      <c r="E5" s="30"/>
      <c r="F5" s="30"/>
    </row>
    <row r="6" spans="1:18" s="24" customFormat="1" ht="36" customHeight="1" x14ac:dyDescent="0.25">
      <c r="A6" s="31" t="s">
        <v>0</v>
      </c>
      <c r="B6" s="32" t="s">
        <v>1</v>
      </c>
      <c r="C6" s="32" t="s">
        <v>2</v>
      </c>
      <c r="D6" s="32" t="s">
        <v>3</v>
      </c>
      <c r="E6" s="32" t="s">
        <v>4</v>
      </c>
      <c r="F6" s="32" t="s">
        <v>29</v>
      </c>
    </row>
    <row r="7" spans="1:18" s="24" customFormat="1" ht="15" x14ac:dyDescent="0.25">
      <c r="A7" s="33">
        <v>1</v>
      </c>
      <c r="B7" s="34">
        <v>2</v>
      </c>
      <c r="C7" s="34">
        <v>3</v>
      </c>
      <c r="D7" s="34">
        <v>4</v>
      </c>
      <c r="E7" s="34">
        <v>5</v>
      </c>
      <c r="F7" s="34">
        <v>6</v>
      </c>
    </row>
    <row r="8" spans="1:18" s="24" customFormat="1" ht="15" x14ac:dyDescent="0.25">
      <c r="A8" s="124" t="s">
        <v>330</v>
      </c>
      <c r="B8" s="124"/>
      <c r="C8" s="124"/>
      <c r="D8" s="124"/>
      <c r="E8" s="124"/>
      <c r="F8" s="124"/>
      <c r="R8" s="47" t="s">
        <v>330</v>
      </c>
    </row>
    <row r="9" spans="1:18" s="24" customFormat="1" ht="33.75" x14ac:dyDescent="0.25">
      <c r="A9" s="35">
        <f>IF(H9&lt;&gt;"",COUNTA(H$1:H9),"")</f>
        <v>1</v>
      </c>
      <c r="B9" s="36" t="s">
        <v>31</v>
      </c>
      <c r="C9" s="21" t="s">
        <v>331</v>
      </c>
      <c r="D9" s="37" t="s">
        <v>59</v>
      </c>
      <c r="E9" s="38">
        <v>52</v>
      </c>
      <c r="F9" s="21" t="s">
        <v>332</v>
      </c>
      <c r="H9" s="44" t="s">
        <v>8</v>
      </c>
      <c r="R9" s="47"/>
    </row>
    <row r="10" spans="1:18" s="24" customFormat="1" ht="78.75" x14ac:dyDescent="0.25">
      <c r="A10" s="35">
        <f>IF(H10&lt;&gt;"",COUNTA(H$1:H10),"")</f>
        <v>2</v>
      </c>
      <c r="B10" s="36" t="s">
        <v>10</v>
      </c>
      <c r="C10" s="21" t="s">
        <v>333</v>
      </c>
      <c r="D10" s="37" t="s">
        <v>7</v>
      </c>
      <c r="E10" s="40">
        <v>256</v>
      </c>
      <c r="F10" s="21"/>
      <c r="H10" s="44" t="s">
        <v>8</v>
      </c>
      <c r="R10" s="47"/>
    </row>
    <row r="11" spans="1:18" s="24" customFormat="1" ht="33.75" x14ac:dyDescent="0.25">
      <c r="A11" s="35">
        <f>IF(H11&lt;&gt;"",COUNTA(H$1:H11),"")</f>
        <v>3</v>
      </c>
      <c r="B11" s="36" t="s">
        <v>34</v>
      </c>
      <c r="C11" s="21" t="s">
        <v>334</v>
      </c>
      <c r="D11" s="37" t="s">
        <v>59</v>
      </c>
      <c r="E11" s="38">
        <v>101</v>
      </c>
      <c r="F11" s="21" t="s">
        <v>335</v>
      </c>
      <c r="H11" s="44" t="s">
        <v>8</v>
      </c>
      <c r="R11" s="47"/>
    </row>
    <row r="12" spans="1:18" s="24" customFormat="1" ht="33.75" x14ac:dyDescent="0.25">
      <c r="A12" s="35">
        <f>IF(H12&lt;&gt;"",COUNTA(H$1:H12),"")</f>
        <v>4</v>
      </c>
      <c r="B12" s="36" t="s">
        <v>122</v>
      </c>
      <c r="C12" s="21" t="s">
        <v>336</v>
      </c>
      <c r="D12" s="37" t="s">
        <v>59</v>
      </c>
      <c r="E12" s="38">
        <v>228</v>
      </c>
      <c r="F12" s="21" t="s">
        <v>337</v>
      </c>
      <c r="H12" s="44" t="s">
        <v>8</v>
      </c>
      <c r="R12" s="47"/>
    </row>
    <row r="13" spans="1:18" s="24" customFormat="1" ht="33.75" x14ac:dyDescent="0.25">
      <c r="A13" s="35">
        <f>IF(H13&lt;&gt;"",COUNTA(H$1:H13),"")</f>
        <v>5</v>
      </c>
      <c r="B13" s="36" t="s">
        <v>362</v>
      </c>
      <c r="C13" s="21" t="s">
        <v>338</v>
      </c>
      <c r="D13" s="37" t="s">
        <v>59</v>
      </c>
      <c r="E13" s="38">
        <v>125</v>
      </c>
      <c r="F13" s="21" t="s">
        <v>339</v>
      </c>
      <c r="H13" s="44" t="s">
        <v>8</v>
      </c>
      <c r="R13" s="47"/>
    </row>
    <row r="14" spans="1:18" s="24" customFormat="1" ht="45" x14ac:dyDescent="0.25">
      <c r="A14" s="35">
        <f>IF(H14&lt;&gt;"",COUNTA(H$1:H14),"")</f>
        <v>6</v>
      </c>
      <c r="B14" s="36" t="s">
        <v>297</v>
      </c>
      <c r="C14" s="21" t="s">
        <v>340</v>
      </c>
      <c r="D14" s="37" t="s">
        <v>59</v>
      </c>
      <c r="E14" s="38">
        <v>129</v>
      </c>
      <c r="F14" s="21" t="s">
        <v>341</v>
      </c>
      <c r="H14" s="44" t="s">
        <v>8</v>
      </c>
      <c r="R14" s="47"/>
    </row>
    <row r="15" spans="1:18" s="24" customFormat="1" ht="33.75" x14ac:dyDescent="0.25">
      <c r="A15" s="35">
        <f>IF(H15&lt;&gt;"",COUNTA(H$1:H15),"")</f>
        <v>7</v>
      </c>
      <c r="B15" s="36" t="s">
        <v>363</v>
      </c>
      <c r="C15" s="21" t="s">
        <v>343</v>
      </c>
      <c r="D15" s="37" t="s">
        <v>59</v>
      </c>
      <c r="E15" s="38">
        <v>58</v>
      </c>
      <c r="F15" s="21" t="s">
        <v>344</v>
      </c>
      <c r="H15" s="44" t="s">
        <v>8</v>
      </c>
      <c r="R15" s="47"/>
    </row>
    <row r="16" spans="1:18" s="24" customFormat="1" ht="67.5" x14ac:dyDescent="0.25">
      <c r="A16" s="35">
        <f>IF(H16&lt;&gt;"",COUNTA(H$1:H16),"")</f>
        <v>8</v>
      </c>
      <c r="B16" s="36" t="s">
        <v>365</v>
      </c>
      <c r="C16" s="21" t="s">
        <v>345</v>
      </c>
      <c r="D16" s="37" t="s">
        <v>59</v>
      </c>
      <c r="E16" s="38">
        <v>98</v>
      </c>
      <c r="F16" s="21" t="s">
        <v>364</v>
      </c>
      <c r="H16" s="44" t="s">
        <v>8</v>
      </c>
      <c r="R16" s="47"/>
    </row>
    <row r="17" spans="1:18" s="24" customFormat="1" ht="67.5" x14ac:dyDescent="0.25">
      <c r="A17" s="35">
        <f>IF(H17&lt;&gt;"",COUNTA(H$1:H17),"")</f>
        <v>9</v>
      </c>
      <c r="B17" s="36" t="s">
        <v>367</v>
      </c>
      <c r="C17" s="21" t="s">
        <v>346</v>
      </c>
      <c r="D17" s="37" t="s">
        <v>59</v>
      </c>
      <c r="E17" s="38">
        <v>56</v>
      </c>
      <c r="F17" s="21" t="s">
        <v>366</v>
      </c>
      <c r="H17" s="44" t="s">
        <v>8</v>
      </c>
      <c r="R17" s="47"/>
    </row>
    <row r="18" spans="1:18" s="24" customFormat="1" ht="45" x14ac:dyDescent="0.25">
      <c r="A18" s="35">
        <f>IF(H18&lt;&gt;"",COUNTA(H$1:H18),"")</f>
        <v>10</v>
      </c>
      <c r="B18" s="36" t="s">
        <v>233</v>
      </c>
      <c r="C18" s="21" t="s">
        <v>223</v>
      </c>
      <c r="D18" s="37" t="s">
        <v>59</v>
      </c>
      <c r="E18" s="38">
        <v>693</v>
      </c>
      <c r="F18" s="21"/>
      <c r="H18" s="44" t="s">
        <v>8</v>
      </c>
      <c r="R18" s="47"/>
    </row>
    <row r="19" spans="1:18" s="24" customFormat="1" ht="45" x14ac:dyDescent="0.25">
      <c r="A19" s="35">
        <f>IF(H19&lt;&gt;"",COUNTA(H$1:H19),"")</f>
        <v>11</v>
      </c>
      <c r="B19" s="36" t="s">
        <v>22</v>
      </c>
      <c r="C19" s="21" t="s">
        <v>347</v>
      </c>
      <c r="D19" s="37" t="s">
        <v>59</v>
      </c>
      <c r="E19" s="38">
        <v>154</v>
      </c>
      <c r="F19" s="21"/>
      <c r="H19" s="44" t="s">
        <v>8</v>
      </c>
      <c r="R19" s="47"/>
    </row>
    <row r="20" spans="1:18" s="24" customFormat="1" ht="33.75" x14ac:dyDescent="0.25">
      <c r="A20" s="35">
        <f>IF(H20&lt;&gt;"",COUNTA(H$1:H20),"")</f>
        <v>12</v>
      </c>
      <c r="B20" s="36" t="s">
        <v>213</v>
      </c>
      <c r="C20" s="21" t="s">
        <v>63</v>
      </c>
      <c r="D20" s="37" t="s">
        <v>62</v>
      </c>
      <c r="E20" s="38">
        <v>80.760000000000005</v>
      </c>
      <c r="F20" s="21"/>
      <c r="H20" s="44" t="s">
        <v>8</v>
      </c>
      <c r="R20" s="47"/>
    </row>
    <row r="21" spans="1:18" s="24" customFormat="1" ht="22.5" x14ac:dyDescent="0.25">
      <c r="A21" s="35">
        <f>IF(H21&lt;&gt;"",COUNTA(H$1:H21),"")</f>
        <v>13</v>
      </c>
      <c r="B21" s="36" t="s">
        <v>237</v>
      </c>
      <c r="C21" s="21" t="s">
        <v>64</v>
      </c>
      <c r="D21" s="37" t="s">
        <v>62</v>
      </c>
      <c r="E21" s="38">
        <v>80.760000000000005</v>
      </c>
      <c r="F21" s="21"/>
      <c r="H21" s="44" t="s">
        <v>8</v>
      </c>
      <c r="R21" s="47"/>
    </row>
    <row r="22" spans="1:18" s="24" customFormat="1" ht="22.5" x14ac:dyDescent="0.25">
      <c r="A22" s="35">
        <f>IF(H22&lt;&gt;"",COUNTA(H$1:H22),"")</f>
        <v>14</v>
      </c>
      <c r="B22" s="36" t="s">
        <v>369</v>
      </c>
      <c r="C22" s="21" t="s">
        <v>348</v>
      </c>
      <c r="D22" s="37" t="s">
        <v>349</v>
      </c>
      <c r="E22" s="38">
        <v>266.39999999999998</v>
      </c>
      <c r="F22" s="21" t="s">
        <v>368</v>
      </c>
      <c r="H22" s="44" t="s">
        <v>8</v>
      </c>
      <c r="R22" s="47"/>
    </row>
    <row r="23" spans="1:18" s="24" customFormat="1" ht="15" x14ac:dyDescent="0.25">
      <c r="A23" s="35">
        <f>IF(H23&lt;&gt;"",COUNTA(H$1:H23),"")</f>
        <v>15</v>
      </c>
      <c r="B23" s="36" t="s">
        <v>370</v>
      </c>
      <c r="C23" s="21" t="s">
        <v>350</v>
      </c>
      <c r="D23" s="37" t="s">
        <v>231</v>
      </c>
      <c r="E23" s="40">
        <v>128</v>
      </c>
      <c r="F23" s="21" t="s">
        <v>351</v>
      </c>
      <c r="H23" s="44" t="s">
        <v>8</v>
      </c>
      <c r="R23" s="47"/>
    </row>
    <row r="24" spans="1:18" s="24" customFormat="1" ht="15" x14ac:dyDescent="0.25">
      <c r="A24" s="124" t="s">
        <v>352</v>
      </c>
      <c r="B24" s="124"/>
      <c r="C24" s="124"/>
      <c r="D24" s="124"/>
      <c r="E24" s="124"/>
      <c r="F24" s="124"/>
      <c r="R24" s="47" t="s">
        <v>352</v>
      </c>
    </row>
    <row r="25" spans="1:18" s="24" customFormat="1" ht="67.5" x14ac:dyDescent="0.25">
      <c r="A25" s="35">
        <f>IF(H25&lt;&gt;"",COUNTA(H$1:H25),"")</f>
        <v>16</v>
      </c>
      <c r="B25" s="36" t="s">
        <v>371</v>
      </c>
      <c r="C25" s="21" t="s">
        <v>353</v>
      </c>
      <c r="D25" s="37" t="s">
        <v>7</v>
      </c>
      <c r="E25" s="40">
        <v>1</v>
      </c>
      <c r="F25" s="21" t="s">
        <v>375</v>
      </c>
      <c r="H25" s="44" t="s">
        <v>8</v>
      </c>
      <c r="R25" s="47"/>
    </row>
    <row r="26" spans="1:18" s="24" customFormat="1" ht="33.75" x14ac:dyDescent="0.25">
      <c r="A26" s="35">
        <f>IF(H26&lt;&gt;"",COUNTA(H$1:H26),"")</f>
        <v>17</v>
      </c>
      <c r="B26" s="36" t="s">
        <v>372</v>
      </c>
      <c r="C26" s="21" t="s">
        <v>354</v>
      </c>
      <c r="D26" s="37" t="s">
        <v>7</v>
      </c>
      <c r="E26" s="40">
        <v>7</v>
      </c>
      <c r="F26" s="21" t="s">
        <v>355</v>
      </c>
      <c r="H26" s="44" t="s">
        <v>8</v>
      </c>
      <c r="R26" s="47"/>
    </row>
    <row r="27" spans="1:18" s="24" customFormat="1" ht="22.5" x14ac:dyDescent="0.25">
      <c r="A27" s="35">
        <f>IF(H27&lt;&gt;"",COUNTA(H$1:H27),"")</f>
        <v>18</v>
      </c>
      <c r="B27" s="36" t="s">
        <v>374</v>
      </c>
      <c r="C27" s="21" t="s">
        <v>356</v>
      </c>
      <c r="D27" s="37" t="s">
        <v>7</v>
      </c>
      <c r="E27" s="40">
        <v>8</v>
      </c>
      <c r="F27" s="21" t="s">
        <v>373</v>
      </c>
      <c r="H27" s="44" t="s">
        <v>8</v>
      </c>
      <c r="R27" s="47"/>
    </row>
    <row r="28" spans="1:18" s="24" customFormat="1" ht="45" x14ac:dyDescent="0.25">
      <c r="A28" s="35">
        <f>IF(H28&lt;&gt;"",COUNTA(H$1:H28),"")</f>
        <v>19</v>
      </c>
      <c r="B28" s="36" t="s">
        <v>376</v>
      </c>
      <c r="C28" s="21" t="s">
        <v>357</v>
      </c>
      <c r="D28" s="37" t="s">
        <v>62</v>
      </c>
      <c r="E28" s="38">
        <v>12.085000000000001</v>
      </c>
      <c r="F28" s="21" t="s">
        <v>358</v>
      </c>
      <c r="H28" s="44" t="s">
        <v>8</v>
      </c>
      <c r="R28" s="47"/>
    </row>
    <row r="29" spans="1:18" s="24" customFormat="1" ht="45" x14ac:dyDescent="0.25">
      <c r="A29" s="35">
        <f>IF(H29&lt;&gt;"",COUNTA(H$1:H29),"")</f>
        <v>20</v>
      </c>
      <c r="B29" s="36" t="s">
        <v>248</v>
      </c>
      <c r="C29" s="21" t="s">
        <v>359</v>
      </c>
      <c r="D29" s="37" t="s">
        <v>62</v>
      </c>
      <c r="E29" s="38">
        <v>6.82</v>
      </c>
      <c r="F29" s="21"/>
      <c r="H29" s="44" t="s">
        <v>8</v>
      </c>
      <c r="R29" s="47"/>
    </row>
    <row r="30" spans="1:18" s="24" customFormat="1" ht="45" x14ac:dyDescent="0.25">
      <c r="A30" s="35">
        <f>IF(H30&lt;&gt;"",COUNTA(H$1:H30),"")</f>
        <v>21</v>
      </c>
      <c r="B30" s="36" t="s">
        <v>250</v>
      </c>
      <c r="C30" s="21" t="s">
        <v>360</v>
      </c>
      <c r="D30" s="37" t="s">
        <v>62</v>
      </c>
      <c r="E30" s="38">
        <v>6.6130000000000004</v>
      </c>
      <c r="F30" s="21"/>
      <c r="H30" s="44" t="s">
        <v>8</v>
      </c>
      <c r="R30" s="47"/>
    </row>
    <row r="31" spans="1:18" s="24" customFormat="1" ht="22.5" x14ac:dyDescent="0.25">
      <c r="A31" s="35">
        <f>IF(H31&lt;&gt;"",COUNTA(H$1:H31),"")</f>
        <v>22</v>
      </c>
      <c r="B31" s="36" t="s">
        <v>251</v>
      </c>
      <c r="C31" s="21" t="s">
        <v>361</v>
      </c>
      <c r="D31" s="37" t="s">
        <v>62</v>
      </c>
      <c r="E31" s="51">
        <v>13.433</v>
      </c>
      <c r="F31" s="21"/>
      <c r="H31" s="44" t="s">
        <v>8</v>
      </c>
      <c r="R31" s="47"/>
    </row>
    <row r="32" spans="1:18" ht="11.25" customHeight="1" x14ac:dyDescent="0.2">
      <c r="A32" s="27"/>
      <c r="B32" s="28"/>
      <c r="C32" s="28"/>
      <c r="D32" s="28"/>
      <c r="E32" s="28"/>
      <c r="F32" s="28"/>
    </row>
    <row r="33" spans="2:6" s="24" customFormat="1" ht="15" x14ac:dyDescent="0.25">
      <c r="B33" s="26"/>
      <c r="D33" s="26"/>
      <c r="F33" s="26"/>
    </row>
  </sheetData>
  <mergeCells count="5">
    <mergeCell ref="E1:F1"/>
    <mergeCell ref="A3:F3"/>
    <mergeCell ref="A4:F4"/>
    <mergeCell ref="A8:F8"/>
    <mergeCell ref="A24:F24"/>
  </mergeCells>
  <printOptions horizontalCentered="1"/>
  <pageMargins left="0.78740155696868896" right="0.31496062874794001" top="0.31496062874794001" bottom="0.31496062874794001" header="0.19685038924217199" footer="0.19685038924217199"/>
  <pageSetup paperSize="9" scale="88"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7169" r:id="rId4">
          <objectPr defaultSize="0" r:id="rId5">
            <anchor moveWithCells="1" sizeWithCells="1">
              <from>
                <xdr:col>0</xdr:col>
                <xdr:colOff>66675</xdr:colOff>
                <xdr:row>32</xdr:row>
                <xdr:rowOff>180975</xdr:rowOff>
              </from>
              <to>
                <xdr:col>5</xdr:col>
                <xdr:colOff>2505075</xdr:colOff>
                <xdr:row>43</xdr:row>
                <xdr:rowOff>85725</xdr:rowOff>
              </to>
            </anchor>
          </objectPr>
        </oleObject>
      </mc:Choice>
      <mc:Fallback>
        <oleObject progId="Word.Document.12" shapeId="7169"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pageSetUpPr fitToPage="1"/>
  </sheetPr>
  <dimension ref="A1:AE38"/>
  <sheetViews>
    <sheetView view="pageBreakPreview" zoomScale="106" zoomScaleNormal="160" zoomScaleSheetLayoutView="106" workbookViewId="0">
      <selection activeCell="J11" sqref="J11"/>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8.570312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9" width="107.85546875" style="45" hidden="1" customWidth="1"/>
    <col min="20" max="22" width="49.42578125" style="46" hidden="1" customWidth="1"/>
    <col min="23" max="25" width="47" style="49" hidden="1" customWidth="1"/>
    <col min="26" max="28" width="49.42578125" style="46" hidden="1" customWidth="1"/>
    <col min="29" max="31" width="47" style="49" hidden="1" customWidth="1"/>
    <col min="32" max="16384" width="9.140625" style="44"/>
  </cols>
  <sheetData>
    <row r="1" spans="1:19" ht="29.25" customHeight="1" x14ac:dyDescent="0.25">
      <c r="A1" s="54"/>
      <c r="B1" s="54"/>
      <c r="C1" s="54"/>
      <c r="D1" s="54"/>
      <c r="E1" s="119" t="s">
        <v>706</v>
      </c>
      <c r="F1" s="120"/>
    </row>
    <row r="2" spans="1:19" ht="11.25" customHeight="1" x14ac:dyDescent="0.2">
      <c r="A2" s="55"/>
      <c r="B2" s="55"/>
      <c r="C2" s="55"/>
      <c r="D2" s="55"/>
      <c r="E2" s="55"/>
      <c r="F2" s="55"/>
    </row>
    <row r="3" spans="1:19" ht="11.25" customHeight="1" x14ac:dyDescent="0.25">
      <c r="A3" s="121" t="s">
        <v>659</v>
      </c>
      <c r="B3" s="122"/>
      <c r="C3" s="122"/>
      <c r="D3" s="122"/>
      <c r="E3" s="122"/>
      <c r="F3" s="122"/>
    </row>
    <row r="4" spans="1:19" ht="11.25" customHeight="1" x14ac:dyDescent="0.2">
      <c r="A4" s="123" t="s">
        <v>654</v>
      </c>
      <c r="B4" s="123"/>
      <c r="C4" s="123"/>
      <c r="D4" s="123"/>
      <c r="E4" s="123"/>
      <c r="F4" s="123"/>
    </row>
    <row r="5" spans="1:19" s="24" customFormat="1" ht="9.75" customHeight="1" x14ac:dyDescent="0.25">
      <c r="A5" s="29"/>
      <c r="B5" s="30"/>
      <c r="C5" s="30"/>
      <c r="D5" s="30"/>
      <c r="E5" s="30"/>
      <c r="F5" s="30"/>
    </row>
    <row r="6" spans="1:19" s="24" customFormat="1" ht="36" customHeight="1" x14ac:dyDescent="0.25">
      <c r="A6" s="31" t="s">
        <v>0</v>
      </c>
      <c r="B6" s="32" t="s">
        <v>1</v>
      </c>
      <c r="C6" s="32" t="s">
        <v>2</v>
      </c>
      <c r="D6" s="32" t="s">
        <v>3</v>
      </c>
      <c r="E6" s="32" t="s">
        <v>4</v>
      </c>
      <c r="F6" s="32" t="s">
        <v>29</v>
      </c>
    </row>
    <row r="7" spans="1:19" s="24" customFormat="1" ht="15" x14ac:dyDescent="0.25">
      <c r="A7" s="33">
        <v>1</v>
      </c>
      <c r="B7" s="34">
        <v>2</v>
      </c>
      <c r="C7" s="34">
        <v>3</v>
      </c>
      <c r="D7" s="34">
        <v>4</v>
      </c>
      <c r="E7" s="34">
        <v>5</v>
      </c>
      <c r="F7" s="34">
        <v>6</v>
      </c>
    </row>
    <row r="8" spans="1:19" s="24" customFormat="1" ht="15" x14ac:dyDescent="0.25">
      <c r="A8" s="124" t="s">
        <v>154</v>
      </c>
      <c r="B8" s="124"/>
      <c r="C8" s="124"/>
      <c r="D8" s="124"/>
      <c r="E8" s="124"/>
      <c r="F8" s="124"/>
      <c r="R8" s="47" t="s">
        <v>154</v>
      </c>
      <c r="S8" s="25"/>
    </row>
    <row r="9" spans="1:19" s="24" customFormat="1" ht="22.5" x14ac:dyDescent="0.25">
      <c r="A9" s="35">
        <f>IF(H9&lt;&gt;"",COUNTA(H$1:H9),"")</f>
        <v>1</v>
      </c>
      <c r="B9" s="36" t="s">
        <v>155</v>
      </c>
      <c r="C9" s="21" t="s">
        <v>200</v>
      </c>
      <c r="D9" s="37" t="s">
        <v>7</v>
      </c>
      <c r="E9" s="40">
        <v>1</v>
      </c>
      <c r="F9" s="21"/>
      <c r="H9" s="44" t="s">
        <v>8</v>
      </c>
      <c r="R9" s="47"/>
      <c r="S9" s="25"/>
    </row>
    <row r="10" spans="1:19" s="24" customFormat="1" ht="45" x14ac:dyDescent="0.25">
      <c r="A10" s="35">
        <f>IF(H10&lt;&gt;"",COUNTA(H$1:H10),"")</f>
        <v>2</v>
      </c>
      <c r="B10" s="36" t="s">
        <v>156</v>
      </c>
      <c r="C10" s="21" t="s">
        <v>201</v>
      </c>
      <c r="D10" s="37" t="s">
        <v>7</v>
      </c>
      <c r="E10" s="40">
        <v>606</v>
      </c>
      <c r="F10" s="21"/>
      <c r="H10" s="44" t="s">
        <v>8</v>
      </c>
      <c r="R10" s="47"/>
      <c r="S10" s="25"/>
    </row>
    <row r="11" spans="1:19" s="24" customFormat="1" ht="45" x14ac:dyDescent="0.25">
      <c r="A11" s="35">
        <f>IF(H11&lt;&gt;"",COUNTA(H$1:H11),"")</f>
        <v>3</v>
      </c>
      <c r="B11" s="36" t="s">
        <v>202</v>
      </c>
      <c r="C11" s="21" t="s">
        <v>709</v>
      </c>
      <c r="D11" s="37" t="s">
        <v>7</v>
      </c>
      <c r="E11" s="40">
        <v>22</v>
      </c>
      <c r="F11" s="21" t="s">
        <v>203</v>
      </c>
      <c r="H11" s="44" t="s">
        <v>8</v>
      </c>
      <c r="R11" s="47"/>
      <c r="S11" s="25"/>
    </row>
    <row r="12" spans="1:19" s="24" customFormat="1" ht="22.5" x14ac:dyDescent="0.25">
      <c r="A12" s="35">
        <f>IF(H12&lt;&gt;"",COUNTA(H$1:H12),"")</f>
        <v>4</v>
      </c>
      <c r="B12" s="36" t="s">
        <v>157</v>
      </c>
      <c r="C12" s="21" t="s">
        <v>158</v>
      </c>
      <c r="D12" s="37" t="s">
        <v>7</v>
      </c>
      <c r="E12" s="40">
        <v>137</v>
      </c>
      <c r="F12" s="21"/>
      <c r="H12" s="44" t="s">
        <v>8</v>
      </c>
      <c r="R12" s="47"/>
      <c r="S12" s="25"/>
    </row>
    <row r="13" spans="1:19" s="24" customFormat="1" ht="15" x14ac:dyDescent="0.25">
      <c r="A13" s="35">
        <f>IF(H13&lt;&gt;"",COUNTA(H$1:H13),"")</f>
        <v>5</v>
      </c>
      <c r="B13" s="36" t="s">
        <v>159</v>
      </c>
      <c r="C13" s="21" t="s">
        <v>160</v>
      </c>
      <c r="D13" s="37" t="s">
        <v>7</v>
      </c>
      <c r="E13" s="38">
        <v>17</v>
      </c>
      <c r="F13" s="21"/>
      <c r="H13" s="44" t="s">
        <v>8</v>
      </c>
      <c r="R13" s="47"/>
      <c r="S13" s="25"/>
    </row>
    <row r="14" spans="1:19" s="24" customFormat="1" ht="33.75" x14ac:dyDescent="0.25">
      <c r="A14" s="35">
        <f>IF(H14&lt;&gt;"",COUNTA(H$1:H14),"")</f>
        <v>6</v>
      </c>
      <c r="B14" s="36" t="s">
        <v>161</v>
      </c>
      <c r="C14" s="21" t="s">
        <v>162</v>
      </c>
      <c r="D14" s="37" t="s">
        <v>7</v>
      </c>
      <c r="E14" s="40">
        <v>2</v>
      </c>
      <c r="F14" s="21"/>
      <c r="H14" s="44" t="s">
        <v>8</v>
      </c>
      <c r="R14" s="47"/>
      <c r="S14" s="25"/>
    </row>
    <row r="15" spans="1:19" s="24" customFormat="1" ht="33.75" x14ac:dyDescent="0.25">
      <c r="A15" s="35">
        <f>IF(H15&lt;&gt;"",COUNTA(H$1:H15),"")</f>
        <v>7</v>
      </c>
      <c r="B15" s="36" t="s">
        <v>163</v>
      </c>
      <c r="C15" s="21" t="s">
        <v>164</v>
      </c>
      <c r="D15" s="37" t="s">
        <v>7</v>
      </c>
      <c r="E15" s="40">
        <v>2</v>
      </c>
      <c r="F15" s="21"/>
      <c r="H15" s="44" t="s">
        <v>8</v>
      </c>
      <c r="R15" s="47"/>
      <c r="S15" s="25"/>
    </row>
    <row r="16" spans="1:19" s="24" customFormat="1" ht="33.75" x14ac:dyDescent="0.25">
      <c r="A16" s="35">
        <f>IF(H16&lt;&gt;"",COUNTA(H$1:H16),"")</f>
        <v>8</v>
      </c>
      <c r="B16" s="36" t="s">
        <v>204</v>
      </c>
      <c r="C16" s="21" t="s">
        <v>165</v>
      </c>
      <c r="D16" s="37" t="s">
        <v>7</v>
      </c>
      <c r="E16" s="40">
        <v>1</v>
      </c>
      <c r="F16" s="21" t="s">
        <v>166</v>
      </c>
      <c r="H16" s="44" t="s">
        <v>8</v>
      </c>
      <c r="R16" s="47"/>
      <c r="S16" s="25"/>
    </row>
    <row r="17" spans="1:19" s="24" customFormat="1" ht="135" x14ac:dyDescent="0.25">
      <c r="A17" s="35">
        <f>IF(H17&lt;&gt;"",COUNTA(H$1:H17),"")</f>
        <v>9</v>
      </c>
      <c r="B17" s="36" t="s">
        <v>205</v>
      </c>
      <c r="C17" s="21" t="s">
        <v>200</v>
      </c>
      <c r="D17" s="37" t="s">
        <v>7</v>
      </c>
      <c r="E17" s="40">
        <v>1</v>
      </c>
      <c r="F17" s="21" t="s">
        <v>206</v>
      </c>
      <c r="H17" s="44" t="s">
        <v>8</v>
      </c>
      <c r="R17" s="47"/>
      <c r="S17" s="25"/>
    </row>
    <row r="18" spans="1:19" s="24" customFormat="1" ht="22.5" x14ac:dyDescent="0.25">
      <c r="A18" s="35">
        <f>IF(H18&lt;&gt;"",COUNTA(H$1:H18),"")</f>
        <v>10</v>
      </c>
      <c r="B18" s="36" t="s">
        <v>167</v>
      </c>
      <c r="C18" s="21" t="s">
        <v>168</v>
      </c>
      <c r="D18" s="37" t="s">
        <v>59</v>
      </c>
      <c r="E18" s="38">
        <v>1450</v>
      </c>
      <c r="F18" s="21"/>
      <c r="H18" s="44" t="s">
        <v>8</v>
      </c>
      <c r="R18" s="47"/>
      <c r="S18" s="25"/>
    </row>
    <row r="19" spans="1:19" s="24" customFormat="1" ht="15" x14ac:dyDescent="0.25">
      <c r="A19" s="35">
        <f>IF(H19&lt;&gt;"",COUNTA(H$1:H19),"")</f>
        <v>11</v>
      </c>
      <c r="B19" s="36" t="s">
        <v>169</v>
      </c>
      <c r="C19" s="21" t="s">
        <v>170</v>
      </c>
      <c r="D19" s="37" t="s">
        <v>59</v>
      </c>
      <c r="E19" s="40">
        <v>50</v>
      </c>
      <c r="F19" s="21"/>
      <c r="H19" s="44" t="s">
        <v>8</v>
      </c>
      <c r="R19" s="47"/>
      <c r="S19" s="25"/>
    </row>
    <row r="20" spans="1:19" s="24" customFormat="1" ht="15" x14ac:dyDescent="0.25">
      <c r="A20" s="35">
        <f>IF(H20&lt;&gt;"",COUNTA(H$1:H20),"")</f>
        <v>12</v>
      </c>
      <c r="B20" s="36" t="s">
        <v>171</v>
      </c>
      <c r="C20" s="21" t="s">
        <v>172</v>
      </c>
      <c r="D20" s="37" t="s">
        <v>59</v>
      </c>
      <c r="E20" s="40">
        <v>1400</v>
      </c>
      <c r="F20" s="21"/>
      <c r="H20" s="44" t="s">
        <v>8</v>
      </c>
      <c r="R20" s="47"/>
      <c r="S20" s="25"/>
    </row>
    <row r="21" spans="1:19" s="24" customFormat="1" ht="15" x14ac:dyDescent="0.25">
      <c r="A21" s="35">
        <f>IF(H21&lt;&gt;"",COUNTA(H$1:H21),"")</f>
        <v>13</v>
      </c>
      <c r="B21" s="36" t="s">
        <v>173</v>
      </c>
      <c r="C21" s="21" t="s">
        <v>174</v>
      </c>
      <c r="D21" s="37" t="s">
        <v>59</v>
      </c>
      <c r="E21" s="38">
        <v>1450</v>
      </c>
      <c r="F21" s="21"/>
      <c r="H21" s="44" t="s">
        <v>8</v>
      </c>
      <c r="R21" s="47"/>
      <c r="S21" s="25"/>
    </row>
    <row r="22" spans="1:19" s="24" customFormat="1" ht="45" x14ac:dyDescent="0.25">
      <c r="A22" s="35">
        <f>IF(H22&lt;&gt;"",COUNTA(H$1:H22),"")</f>
        <v>14</v>
      </c>
      <c r="B22" s="36" t="s">
        <v>208</v>
      </c>
      <c r="C22" s="21" t="s">
        <v>175</v>
      </c>
      <c r="D22" s="37" t="s">
        <v>59</v>
      </c>
      <c r="E22" s="38">
        <v>200</v>
      </c>
      <c r="F22" s="21" t="s">
        <v>207</v>
      </c>
      <c r="H22" s="44" t="s">
        <v>8</v>
      </c>
      <c r="R22" s="47"/>
      <c r="S22" s="25"/>
    </row>
    <row r="23" spans="1:19" s="24" customFormat="1" ht="22.5" x14ac:dyDescent="0.25">
      <c r="A23" s="35">
        <f>IF(H23&lt;&gt;"",COUNTA(H$1:H23),"")</f>
        <v>15</v>
      </c>
      <c r="B23" s="36" t="s">
        <v>176</v>
      </c>
      <c r="C23" s="21" t="s">
        <v>177</v>
      </c>
      <c r="D23" s="37" t="s">
        <v>59</v>
      </c>
      <c r="E23" s="38">
        <v>100</v>
      </c>
      <c r="F23" s="21"/>
      <c r="H23" s="44" t="s">
        <v>8</v>
      </c>
      <c r="R23" s="47"/>
      <c r="S23" s="25"/>
    </row>
    <row r="24" spans="1:19" s="24" customFormat="1" ht="56.25" x14ac:dyDescent="0.25">
      <c r="A24" s="35">
        <f>IF(H24&lt;&gt;"",COUNTA(H$1:H24),"")</f>
        <v>16</v>
      </c>
      <c r="B24" s="36" t="s">
        <v>178</v>
      </c>
      <c r="C24" s="21" t="s">
        <v>179</v>
      </c>
      <c r="D24" s="37" t="s">
        <v>59</v>
      </c>
      <c r="E24" s="38">
        <v>300</v>
      </c>
      <c r="F24" s="21"/>
      <c r="H24" s="44" t="s">
        <v>8</v>
      </c>
      <c r="R24" s="47"/>
      <c r="S24" s="25"/>
    </row>
    <row r="25" spans="1:19" s="24" customFormat="1" ht="56.25" x14ac:dyDescent="0.25">
      <c r="A25" s="35">
        <f>IF(H25&lt;&gt;"",COUNTA(H$1:H25),"")</f>
        <v>17</v>
      </c>
      <c r="B25" s="36" t="s">
        <v>180</v>
      </c>
      <c r="C25" s="21" t="s">
        <v>181</v>
      </c>
      <c r="D25" s="37" t="s">
        <v>59</v>
      </c>
      <c r="E25" s="40">
        <v>918</v>
      </c>
      <c r="F25" s="21"/>
      <c r="H25" s="44" t="s">
        <v>8</v>
      </c>
      <c r="R25" s="47"/>
      <c r="S25" s="25"/>
    </row>
    <row r="26" spans="1:19" s="24" customFormat="1" ht="56.25" x14ac:dyDescent="0.25">
      <c r="A26" s="35">
        <f>IF(H26&lt;&gt;"",COUNTA(H$1:H26),"")</f>
        <v>18</v>
      </c>
      <c r="B26" s="36" t="s">
        <v>182</v>
      </c>
      <c r="C26" s="21" t="s">
        <v>183</v>
      </c>
      <c r="D26" s="37" t="s">
        <v>59</v>
      </c>
      <c r="E26" s="40">
        <v>408</v>
      </c>
      <c r="F26" s="21"/>
      <c r="H26" s="44" t="s">
        <v>8</v>
      </c>
      <c r="R26" s="47"/>
      <c r="S26" s="25"/>
    </row>
    <row r="27" spans="1:19" s="24" customFormat="1" ht="56.25" x14ac:dyDescent="0.25">
      <c r="A27" s="35">
        <f>IF(H27&lt;&gt;"",COUNTA(H$1:H27),"")</f>
        <v>19</v>
      </c>
      <c r="B27" s="36" t="s">
        <v>184</v>
      </c>
      <c r="C27" s="21" t="s">
        <v>185</v>
      </c>
      <c r="D27" s="37" t="s">
        <v>59</v>
      </c>
      <c r="E27" s="43">
        <v>91.8</v>
      </c>
      <c r="F27" s="21"/>
      <c r="H27" s="44" t="s">
        <v>8</v>
      </c>
      <c r="R27" s="47"/>
      <c r="S27" s="25"/>
    </row>
    <row r="28" spans="1:19" s="24" customFormat="1" ht="45" x14ac:dyDescent="0.25">
      <c r="A28" s="35">
        <f>IF(H28&lt;&gt;"",COUNTA(H$1:H28),"")</f>
        <v>20</v>
      </c>
      <c r="B28" s="36" t="s">
        <v>186</v>
      </c>
      <c r="C28" s="21" t="s">
        <v>187</v>
      </c>
      <c r="D28" s="37" t="s">
        <v>59</v>
      </c>
      <c r="E28" s="40">
        <v>144</v>
      </c>
      <c r="F28" s="21"/>
      <c r="H28" s="44" t="s">
        <v>8</v>
      </c>
      <c r="R28" s="47"/>
      <c r="S28" s="25"/>
    </row>
    <row r="29" spans="1:19" s="24" customFormat="1" ht="22.5" x14ac:dyDescent="0.25">
      <c r="A29" s="35">
        <f>IF(H29&lt;&gt;"",COUNTA(H$1:H29),"")</f>
        <v>21</v>
      </c>
      <c r="B29" s="36" t="s">
        <v>210</v>
      </c>
      <c r="C29" s="21" t="s">
        <v>209</v>
      </c>
      <c r="D29" s="37" t="s">
        <v>7</v>
      </c>
      <c r="E29" s="40">
        <v>50</v>
      </c>
      <c r="F29" s="21" t="s">
        <v>211</v>
      </c>
      <c r="H29" s="44" t="s">
        <v>8</v>
      </c>
      <c r="R29" s="47"/>
      <c r="S29" s="25"/>
    </row>
    <row r="30" spans="1:19" s="24" customFormat="1" ht="56.25" x14ac:dyDescent="0.25">
      <c r="A30" s="35">
        <f>IF(H30&lt;&gt;"",COUNTA(H$1:H30),"")</f>
        <v>22</v>
      </c>
      <c r="B30" s="36" t="s">
        <v>188</v>
      </c>
      <c r="C30" s="21" t="s">
        <v>189</v>
      </c>
      <c r="D30" s="37" t="s">
        <v>7</v>
      </c>
      <c r="E30" s="38">
        <v>1000</v>
      </c>
      <c r="F30" s="21"/>
      <c r="H30" s="44" t="s">
        <v>8</v>
      </c>
      <c r="R30" s="47"/>
      <c r="S30" s="25"/>
    </row>
    <row r="31" spans="1:19" s="24" customFormat="1" ht="15" x14ac:dyDescent="0.25">
      <c r="A31" s="35">
        <f>IF(H31&lt;&gt;"",COUNTA(H$1:H31),"")</f>
        <v>23</v>
      </c>
      <c r="B31" s="36" t="s">
        <v>190</v>
      </c>
      <c r="C31" s="21" t="s">
        <v>198</v>
      </c>
      <c r="D31" s="37" t="s">
        <v>7</v>
      </c>
      <c r="E31" s="40">
        <v>3000</v>
      </c>
      <c r="F31" s="21"/>
      <c r="H31" s="44" t="s">
        <v>8</v>
      </c>
      <c r="R31" s="47"/>
      <c r="S31" s="25"/>
    </row>
    <row r="32" spans="1:19" s="24" customFormat="1" ht="15" x14ac:dyDescent="0.25">
      <c r="A32" s="35">
        <f>IF(H32&lt;&gt;"",COUNTA(H$1:H32),"")</f>
        <v>24</v>
      </c>
      <c r="B32" s="36" t="s">
        <v>191</v>
      </c>
      <c r="C32" s="21" t="s">
        <v>199</v>
      </c>
      <c r="D32" s="37" t="s">
        <v>7</v>
      </c>
      <c r="E32" s="40">
        <v>100</v>
      </c>
      <c r="F32" s="21"/>
      <c r="H32" s="44" t="s">
        <v>8</v>
      </c>
      <c r="R32" s="47"/>
      <c r="S32" s="25"/>
    </row>
    <row r="33" spans="1:19" s="24" customFormat="1" ht="45" x14ac:dyDescent="0.25">
      <c r="A33" s="35">
        <f>IF(H33&lt;&gt;"",COUNTA(H$1:H33),"")</f>
        <v>25</v>
      </c>
      <c r="B33" s="36" t="s">
        <v>197</v>
      </c>
      <c r="C33" s="21" t="s">
        <v>192</v>
      </c>
      <c r="D33" s="37" t="s">
        <v>59</v>
      </c>
      <c r="E33" s="38">
        <v>30</v>
      </c>
      <c r="F33" s="21" t="s">
        <v>193</v>
      </c>
      <c r="H33" s="44" t="s">
        <v>8</v>
      </c>
      <c r="R33" s="47"/>
      <c r="S33" s="25"/>
    </row>
    <row r="34" spans="1:19" s="24" customFormat="1" ht="56.25" x14ac:dyDescent="0.25">
      <c r="A34" s="35">
        <f>IF(H34&lt;&gt;"",COUNTA(H$1:H34),"")</f>
        <v>26</v>
      </c>
      <c r="B34" s="36" t="s">
        <v>196</v>
      </c>
      <c r="C34" s="21" t="s">
        <v>194</v>
      </c>
      <c r="D34" s="37" t="s">
        <v>7</v>
      </c>
      <c r="E34" s="40">
        <v>80</v>
      </c>
      <c r="F34" s="21" t="s">
        <v>195</v>
      </c>
      <c r="H34" s="44" t="s">
        <v>8</v>
      </c>
      <c r="R34" s="47"/>
      <c r="S34" s="25"/>
    </row>
    <row r="35" spans="1:19" ht="11.25" customHeight="1" x14ac:dyDescent="0.2">
      <c r="A35" s="27"/>
      <c r="B35" s="28"/>
      <c r="C35" s="28"/>
      <c r="D35" s="28"/>
      <c r="E35" s="28"/>
      <c r="F35" s="28"/>
    </row>
    <row r="36" spans="1:19" s="24" customFormat="1" ht="15" x14ac:dyDescent="0.25">
      <c r="A36" s="30"/>
      <c r="B36" s="50"/>
      <c r="C36" s="30"/>
      <c r="D36" s="50"/>
      <c r="E36" s="30"/>
      <c r="F36" s="50"/>
    </row>
    <row r="37" spans="1:19" ht="11.25" customHeight="1" x14ac:dyDescent="0.2">
      <c r="A37" s="27"/>
      <c r="B37" s="28"/>
      <c r="C37" s="28"/>
      <c r="D37" s="28"/>
      <c r="E37" s="28"/>
      <c r="F37" s="28"/>
    </row>
    <row r="38" spans="1:19" ht="11.25" customHeight="1" x14ac:dyDescent="0.2">
      <c r="A38" s="27"/>
      <c r="B38" s="28"/>
      <c r="C38" s="28"/>
      <c r="D38" s="28"/>
      <c r="E38" s="28"/>
      <c r="F38" s="28"/>
    </row>
  </sheetData>
  <mergeCells count="4">
    <mergeCell ref="A8:F8"/>
    <mergeCell ref="E1:F1"/>
    <mergeCell ref="A3:F3"/>
    <mergeCell ref="A4:F4"/>
  </mergeCells>
  <printOptions horizontalCentered="1"/>
  <pageMargins left="0.78740155696868896" right="0.31496062874794001" top="0.31496062874794001" bottom="0.31496062874794001" header="0.19685038924217199" footer="0.19685038924217199"/>
  <pageSetup paperSize="9" scale="91"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8193" r:id="rId4">
          <objectPr defaultSize="0" autoPict="0" r:id="rId5">
            <anchor moveWithCells="1" sizeWithCells="1">
              <from>
                <xdr:col>0</xdr:col>
                <xdr:colOff>0</xdr:colOff>
                <xdr:row>37</xdr:row>
                <xdr:rowOff>76200</xdr:rowOff>
              </from>
              <to>
                <xdr:col>5</xdr:col>
                <xdr:colOff>2438400</xdr:colOff>
                <xdr:row>47</xdr:row>
                <xdr:rowOff>123825</xdr:rowOff>
              </to>
            </anchor>
          </objectPr>
        </oleObject>
      </mc:Choice>
      <mc:Fallback>
        <oleObject progId="Word.Document.12" shapeId="8193"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pageSetUpPr fitToPage="1"/>
  </sheetPr>
  <dimension ref="A1:AE29"/>
  <sheetViews>
    <sheetView view="pageBreakPreview" zoomScale="96" zoomScaleNormal="154" zoomScaleSheetLayoutView="96" workbookViewId="0">
      <selection activeCell="L11" sqref="L11"/>
    </sheetView>
  </sheetViews>
  <sheetFormatPr defaultColWidth="9.140625" defaultRowHeight="11.25" customHeight="1" x14ac:dyDescent="0.2"/>
  <cols>
    <col min="1" max="1" width="5.7109375" style="1" customWidth="1"/>
    <col min="2" max="2" width="5.7109375" style="2" customWidth="1"/>
    <col min="3" max="3" width="29.85546875" style="2" customWidth="1"/>
    <col min="4" max="4" width="7.28515625" style="2" customWidth="1"/>
    <col min="5" max="5" width="12.28515625" style="2" customWidth="1"/>
    <col min="6" max="6" width="38.5703125" style="2" customWidth="1"/>
    <col min="7" max="7" width="8.7109375" style="2" customWidth="1"/>
    <col min="8" max="8" width="8.140625" style="2" hidden="1" customWidth="1"/>
    <col min="9" max="9" width="8.5703125" style="2" customWidth="1"/>
    <col min="10" max="10" width="10" style="2" customWidth="1"/>
    <col min="11" max="11" width="7.85546875" style="2" customWidth="1"/>
    <col min="12" max="12" width="9.7109375" style="2" customWidth="1"/>
    <col min="13" max="13" width="11" style="2" hidden="1" customWidth="1"/>
    <col min="14" max="14" width="14.28515625" style="2" customWidth="1"/>
    <col min="15" max="17" width="9.140625" style="2"/>
    <col min="18" max="19" width="107.85546875" style="3" hidden="1" customWidth="1"/>
    <col min="20" max="22" width="49.42578125" style="4" hidden="1" customWidth="1"/>
    <col min="23" max="25" width="47" style="5" hidden="1" customWidth="1"/>
    <col min="26" max="28" width="49.42578125" style="4" hidden="1" customWidth="1"/>
    <col min="29" max="31" width="47" style="5" hidden="1" customWidth="1"/>
    <col min="32" max="16384" width="9.140625" style="2"/>
  </cols>
  <sheetData>
    <row r="1" spans="1:18" ht="24.75" customHeight="1" x14ac:dyDescent="0.25">
      <c r="A1" s="54"/>
      <c r="B1" s="54"/>
      <c r="C1" s="54"/>
      <c r="D1" s="54"/>
      <c r="E1" s="119" t="s">
        <v>707</v>
      </c>
      <c r="F1" s="120"/>
    </row>
    <row r="2" spans="1:18" ht="11.25" customHeight="1" x14ac:dyDescent="0.2">
      <c r="A2" s="55"/>
      <c r="B2" s="55"/>
      <c r="C2" s="55"/>
      <c r="D2" s="55"/>
      <c r="E2" s="55"/>
      <c r="F2" s="55"/>
    </row>
    <row r="3" spans="1:18" ht="11.25" customHeight="1" x14ac:dyDescent="0.25">
      <c r="A3" s="121" t="s">
        <v>660</v>
      </c>
      <c r="B3" s="122"/>
      <c r="C3" s="122"/>
      <c r="D3" s="122"/>
      <c r="E3" s="122"/>
      <c r="F3" s="122"/>
    </row>
    <row r="4" spans="1:18" ht="11.25" customHeight="1" x14ac:dyDescent="0.2">
      <c r="A4" s="123" t="s">
        <v>654</v>
      </c>
      <c r="B4" s="123"/>
      <c r="C4" s="123"/>
      <c r="D4" s="123"/>
      <c r="E4" s="123"/>
      <c r="F4" s="123"/>
    </row>
    <row r="5" spans="1:18" customFormat="1" ht="9.75" customHeight="1" x14ac:dyDescent="0.25">
      <c r="A5" s="9"/>
      <c r="B5" s="10"/>
      <c r="C5" s="10"/>
      <c r="D5" s="10"/>
      <c r="E5" s="10"/>
      <c r="F5" s="10"/>
    </row>
    <row r="6" spans="1:18" customFormat="1" ht="36" customHeight="1" x14ac:dyDescent="0.25">
      <c r="A6" s="11" t="s">
        <v>0</v>
      </c>
      <c r="B6" s="12" t="s">
        <v>1</v>
      </c>
      <c r="C6" s="12" t="s">
        <v>2</v>
      </c>
      <c r="D6" s="12" t="s">
        <v>3</v>
      </c>
      <c r="E6" s="12" t="s">
        <v>4</v>
      </c>
      <c r="F6" s="12" t="s">
        <v>29</v>
      </c>
    </row>
    <row r="7" spans="1:18" customFormat="1" ht="15" x14ac:dyDescent="0.25">
      <c r="A7" s="13">
        <v>1</v>
      </c>
      <c r="B7" s="14">
        <v>2</v>
      </c>
      <c r="C7" s="14">
        <v>3</v>
      </c>
      <c r="D7" s="14">
        <v>4</v>
      </c>
      <c r="E7" s="14">
        <v>5</v>
      </c>
      <c r="F7" s="14">
        <v>6</v>
      </c>
    </row>
    <row r="8" spans="1:18" customFormat="1" ht="15" x14ac:dyDescent="0.25">
      <c r="A8" s="129" t="s">
        <v>5</v>
      </c>
      <c r="B8" s="129"/>
      <c r="C8" s="129"/>
      <c r="D8" s="129"/>
      <c r="E8" s="129"/>
      <c r="F8" s="129"/>
      <c r="R8" s="6" t="s">
        <v>5</v>
      </c>
    </row>
    <row r="9" spans="1:18" customFormat="1" ht="33.75" x14ac:dyDescent="0.25">
      <c r="A9" s="15">
        <f>IF(H9&lt;&gt;"",COUNTA(H$1:H9),"")</f>
        <v>1</v>
      </c>
      <c r="B9" s="16" t="s">
        <v>31</v>
      </c>
      <c r="C9" s="17" t="s">
        <v>6</v>
      </c>
      <c r="D9" s="18" t="s">
        <v>7</v>
      </c>
      <c r="E9" s="19">
        <v>1</v>
      </c>
      <c r="F9" s="21" t="s">
        <v>30</v>
      </c>
      <c r="H9" s="2" t="s">
        <v>8</v>
      </c>
      <c r="R9" s="6"/>
    </row>
    <row r="10" spans="1:18" customFormat="1" ht="15" x14ac:dyDescent="0.25">
      <c r="A10" s="15">
        <f>IF(H10&lt;&gt;"",COUNTA(H$1:H10),"")</f>
        <v>2</v>
      </c>
      <c r="B10" s="16" t="s">
        <v>10</v>
      </c>
      <c r="C10" s="17" t="s">
        <v>32</v>
      </c>
      <c r="D10" s="18" t="s">
        <v>7</v>
      </c>
      <c r="E10" s="19">
        <v>1</v>
      </c>
      <c r="F10" s="17"/>
      <c r="H10" s="2" t="s">
        <v>8</v>
      </c>
      <c r="R10" s="6"/>
    </row>
    <row r="11" spans="1:18" customFormat="1" ht="67.5" x14ac:dyDescent="0.25">
      <c r="A11" s="15">
        <f>IF(H11&lt;&gt;"",COUNTA(H$1:H11),"")</f>
        <v>3</v>
      </c>
      <c r="B11" s="16" t="s">
        <v>34</v>
      </c>
      <c r="C11" s="17" t="s">
        <v>11</v>
      </c>
      <c r="D11" s="18" t="s">
        <v>7</v>
      </c>
      <c r="E11" s="19">
        <v>91</v>
      </c>
      <c r="F11" s="22" t="s">
        <v>33</v>
      </c>
      <c r="H11" s="2" t="s">
        <v>8</v>
      </c>
      <c r="R11" s="6"/>
    </row>
    <row r="12" spans="1:18" customFormat="1" ht="67.5" x14ac:dyDescent="0.25">
      <c r="A12" s="15">
        <f>IF(H12&lt;&gt;"",COUNTA(H$1:H12),"")</f>
        <v>4</v>
      </c>
      <c r="B12" s="16" t="s">
        <v>12</v>
      </c>
      <c r="C12" s="21" t="s">
        <v>38</v>
      </c>
      <c r="D12" s="18" t="s">
        <v>7</v>
      </c>
      <c r="E12" s="19">
        <v>296</v>
      </c>
      <c r="F12" s="21" t="s">
        <v>35</v>
      </c>
      <c r="H12" s="2" t="s">
        <v>8</v>
      </c>
      <c r="R12" s="6"/>
    </row>
    <row r="13" spans="1:18" customFormat="1" ht="78.75" x14ac:dyDescent="0.25">
      <c r="A13" s="15">
        <f>IF(H13&lt;&gt;"",COUNTA(H$1:H13),"")</f>
        <v>5</v>
      </c>
      <c r="B13" s="16" t="s">
        <v>13</v>
      </c>
      <c r="C13" s="21" t="s">
        <v>38</v>
      </c>
      <c r="D13" s="18" t="s">
        <v>7</v>
      </c>
      <c r="E13" s="19">
        <v>308</v>
      </c>
      <c r="F13" s="21" t="s">
        <v>36</v>
      </c>
      <c r="H13" s="2" t="s">
        <v>8</v>
      </c>
      <c r="R13" s="6"/>
    </row>
    <row r="14" spans="1:18" customFormat="1" ht="67.5" x14ac:dyDescent="0.25">
      <c r="A14" s="15">
        <f>IF(H14&lt;&gt;"",COUNTA(H$1:H14),"")</f>
        <v>6</v>
      </c>
      <c r="B14" s="16" t="s">
        <v>14</v>
      </c>
      <c r="C14" s="21" t="s">
        <v>39</v>
      </c>
      <c r="D14" s="18" t="s">
        <v>7</v>
      </c>
      <c r="E14" s="19">
        <v>2</v>
      </c>
      <c r="F14" s="21" t="s">
        <v>37</v>
      </c>
      <c r="H14" s="2" t="s">
        <v>8</v>
      </c>
      <c r="R14" s="6"/>
    </row>
    <row r="15" spans="1:18" customFormat="1" ht="22.5" x14ac:dyDescent="0.25">
      <c r="A15" s="15">
        <f>IF(H15&lt;&gt;"",COUNTA(H$1:H15),"")</f>
        <v>7</v>
      </c>
      <c r="B15" s="16" t="s">
        <v>15</v>
      </c>
      <c r="C15" s="21" t="s">
        <v>40</v>
      </c>
      <c r="D15" s="18" t="s">
        <v>7</v>
      </c>
      <c r="E15" s="19">
        <v>304</v>
      </c>
      <c r="F15" s="21"/>
      <c r="H15" s="2" t="s">
        <v>8</v>
      </c>
      <c r="R15" s="6"/>
    </row>
    <row r="16" spans="1:18" customFormat="1" ht="22.5" x14ac:dyDescent="0.25">
      <c r="A16" s="15">
        <f>IF(H16&lt;&gt;"",COUNTA(H$1:H16),"")</f>
        <v>8</v>
      </c>
      <c r="B16" s="16" t="s">
        <v>16</v>
      </c>
      <c r="C16" s="21" t="s">
        <v>41</v>
      </c>
      <c r="D16" s="18" t="s">
        <v>7</v>
      </c>
      <c r="E16" s="19">
        <v>16</v>
      </c>
      <c r="F16" s="21" t="s">
        <v>43</v>
      </c>
      <c r="H16" s="2" t="s">
        <v>8</v>
      </c>
      <c r="R16" s="6"/>
    </row>
    <row r="17" spans="1:18" customFormat="1" ht="22.5" x14ac:dyDescent="0.25">
      <c r="A17" s="15">
        <f>IF(H17&lt;&gt;"",COUNTA(H$1:H17),"")</f>
        <v>9</v>
      </c>
      <c r="B17" s="16" t="s">
        <v>17</v>
      </c>
      <c r="C17" s="21" t="s">
        <v>42</v>
      </c>
      <c r="D17" s="18" t="s">
        <v>7</v>
      </c>
      <c r="E17" s="19">
        <v>1</v>
      </c>
      <c r="F17" s="21" t="s">
        <v>44</v>
      </c>
      <c r="H17" s="2" t="s">
        <v>8</v>
      </c>
      <c r="R17" s="6"/>
    </row>
    <row r="18" spans="1:18" customFormat="1" ht="78.75" x14ac:dyDescent="0.25">
      <c r="A18" s="15">
        <f>IF(H18&lt;&gt;"",COUNTA(H$1:H18),"")</f>
        <v>10</v>
      </c>
      <c r="B18" s="16" t="s">
        <v>46</v>
      </c>
      <c r="C18" s="17" t="s">
        <v>18</v>
      </c>
      <c r="D18" s="18" t="s">
        <v>7</v>
      </c>
      <c r="E18" s="19">
        <v>10</v>
      </c>
      <c r="F18" s="21" t="s">
        <v>45</v>
      </c>
      <c r="H18" s="2" t="s">
        <v>8</v>
      </c>
      <c r="R18" s="6"/>
    </row>
    <row r="19" spans="1:18" customFormat="1" ht="45" x14ac:dyDescent="0.25">
      <c r="A19" s="15">
        <f>IF(H19&lt;&gt;"",COUNTA(H$1:H19),"")</f>
        <v>11</v>
      </c>
      <c r="B19" s="16" t="s">
        <v>47</v>
      </c>
      <c r="C19" s="17" t="s">
        <v>19</v>
      </c>
      <c r="D19" s="18" t="s">
        <v>7</v>
      </c>
      <c r="E19" s="19">
        <v>1</v>
      </c>
      <c r="F19" s="21" t="s">
        <v>48</v>
      </c>
      <c r="H19" s="2" t="s">
        <v>8</v>
      </c>
      <c r="R19" s="6"/>
    </row>
    <row r="20" spans="1:18" customFormat="1" ht="15" x14ac:dyDescent="0.25">
      <c r="A20" s="15">
        <f>IF(H20&lt;&gt;"",COUNTA(H$1:H20),"")</f>
        <v>12</v>
      </c>
      <c r="B20" s="16" t="s">
        <v>20</v>
      </c>
      <c r="C20" s="17" t="s">
        <v>21</v>
      </c>
      <c r="D20" s="18" t="s">
        <v>7</v>
      </c>
      <c r="E20" s="19">
        <v>2</v>
      </c>
      <c r="F20" s="17"/>
      <c r="H20" s="2" t="s">
        <v>8</v>
      </c>
      <c r="R20" s="6"/>
    </row>
    <row r="21" spans="1:18" customFormat="1" ht="15" x14ac:dyDescent="0.25">
      <c r="A21" s="15">
        <f>IF(H21&lt;&gt;"",COUNTA(H$1:H21),"")</f>
        <v>13</v>
      </c>
      <c r="B21" s="16" t="s">
        <v>22</v>
      </c>
      <c r="C21" s="17" t="s">
        <v>21</v>
      </c>
      <c r="D21" s="18" t="s">
        <v>7</v>
      </c>
      <c r="E21" s="19">
        <v>2</v>
      </c>
      <c r="F21" s="17"/>
      <c r="H21" s="2" t="s">
        <v>8</v>
      </c>
      <c r="R21" s="6"/>
    </row>
    <row r="22" spans="1:18" customFormat="1" ht="147.75" customHeight="1" x14ac:dyDescent="0.25">
      <c r="A22" s="15">
        <f>IF(H22&lt;&gt;"",COUNTA(H$1:H22),"")</f>
        <v>14</v>
      </c>
      <c r="B22" s="16" t="s">
        <v>51</v>
      </c>
      <c r="C22" s="17" t="s">
        <v>11</v>
      </c>
      <c r="D22" s="18" t="s">
        <v>7</v>
      </c>
      <c r="E22" s="19">
        <v>2</v>
      </c>
      <c r="F22" s="23" t="s">
        <v>49</v>
      </c>
      <c r="H22" s="2" t="s">
        <v>8</v>
      </c>
      <c r="R22" s="6"/>
    </row>
    <row r="23" spans="1:18" customFormat="1" ht="102" customHeight="1" x14ac:dyDescent="0.25">
      <c r="A23" s="15">
        <f>IF(H23&lt;&gt;"",COUNTA(H$1:H23),"")</f>
        <v>15</v>
      </c>
      <c r="B23" s="16" t="s">
        <v>23</v>
      </c>
      <c r="C23" s="17" t="s">
        <v>52</v>
      </c>
      <c r="D23" s="18" t="s">
        <v>7</v>
      </c>
      <c r="E23" s="19">
        <v>1</v>
      </c>
      <c r="F23" s="21" t="s">
        <v>50</v>
      </c>
      <c r="H23" s="2" t="s">
        <v>8</v>
      </c>
      <c r="R23" s="6"/>
    </row>
    <row r="24" spans="1:18" customFormat="1" ht="48" customHeight="1" x14ac:dyDescent="0.25">
      <c r="A24" s="15">
        <f>IF(H24&lt;&gt;"",COUNTA(H$1:H24),"")</f>
        <v>16</v>
      </c>
      <c r="B24" s="16" t="s">
        <v>24</v>
      </c>
      <c r="C24" s="17" t="s">
        <v>55</v>
      </c>
      <c r="D24" s="18" t="s">
        <v>7</v>
      </c>
      <c r="E24" s="19">
        <v>137</v>
      </c>
      <c r="F24" s="21" t="s">
        <v>56</v>
      </c>
      <c r="H24" s="2" t="s">
        <v>8</v>
      </c>
      <c r="R24" s="6"/>
    </row>
    <row r="25" spans="1:18" customFormat="1" ht="105" customHeight="1" x14ac:dyDescent="0.25">
      <c r="A25" s="15">
        <f>IF(H25&lt;&gt;"",COUNTA(H$1:H25),"")</f>
        <v>17</v>
      </c>
      <c r="B25" s="16" t="s">
        <v>53</v>
      </c>
      <c r="C25" s="17" t="s">
        <v>25</v>
      </c>
      <c r="D25" s="18" t="s">
        <v>26</v>
      </c>
      <c r="E25" s="19">
        <v>20</v>
      </c>
      <c r="F25" s="21" t="s">
        <v>57</v>
      </c>
      <c r="H25" s="2" t="s">
        <v>8</v>
      </c>
      <c r="R25" s="6"/>
    </row>
    <row r="26" spans="1:18" customFormat="1" ht="56.25" x14ac:dyDescent="0.25">
      <c r="A26" s="15">
        <f>IF(H26&lt;&gt;"",COUNTA(H$1:H26),"")</f>
        <v>18</v>
      </c>
      <c r="B26" s="16" t="s">
        <v>54</v>
      </c>
      <c r="C26" s="17" t="s">
        <v>28</v>
      </c>
      <c r="D26" s="18" t="s">
        <v>7</v>
      </c>
      <c r="E26" s="19">
        <v>10</v>
      </c>
      <c r="F26" s="21" t="s">
        <v>58</v>
      </c>
      <c r="H26" s="2" t="s">
        <v>8</v>
      </c>
      <c r="R26" s="6"/>
    </row>
    <row r="27" spans="1:18" ht="11.25" customHeight="1" x14ac:dyDescent="0.2">
      <c r="A27" s="7"/>
      <c r="B27" s="8"/>
      <c r="C27" s="8"/>
      <c r="D27" s="8"/>
      <c r="E27" s="8"/>
      <c r="F27" s="8"/>
    </row>
    <row r="28" spans="1:18" customFormat="1" ht="15" x14ac:dyDescent="0.25">
      <c r="A28" s="10"/>
      <c r="B28" s="20"/>
      <c r="C28" s="10"/>
      <c r="D28" s="20"/>
      <c r="E28" s="10"/>
      <c r="F28" s="20"/>
    </row>
    <row r="29" spans="1:18" ht="11.25" customHeight="1" x14ac:dyDescent="0.2">
      <c r="A29" s="7"/>
      <c r="B29" s="8"/>
      <c r="C29" s="8"/>
      <c r="D29" s="8"/>
      <c r="E29" s="8"/>
      <c r="F29" s="8"/>
    </row>
  </sheetData>
  <mergeCells count="4">
    <mergeCell ref="A8:F8"/>
    <mergeCell ref="E1:F1"/>
    <mergeCell ref="A3:F3"/>
    <mergeCell ref="A4:F4"/>
  </mergeCells>
  <printOptions horizontalCentered="1"/>
  <pageMargins left="0.78740155696868896" right="0.31496062874794001" top="0.31496062874794001" bottom="0.31496062874794001" header="0.19685038924217199" footer="0.19685038924217199"/>
  <pageSetup paperSize="9" scale="91"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9217" r:id="rId4">
          <objectPr defaultSize="0" autoPict="0" r:id="rId5">
            <anchor moveWithCells="1" sizeWithCells="1">
              <from>
                <xdr:col>0</xdr:col>
                <xdr:colOff>0</xdr:colOff>
                <xdr:row>30</xdr:row>
                <xdr:rowOff>38100</xdr:rowOff>
              </from>
              <to>
                <xdr:col>5</xdr:col>
                <xdr:colOff>2438400</xdr:colOff>
                <xdr:row>40</xdr:row>
                <xdr:rowOff>57150</xdr:rowOff>
              </to>
            </anchor>
          </objectPr>
        </oleObject>
      </mc:Choice>
      <mc:Fallback>
        <oleObject progId="Word.Document.12" shapeId="9217"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pageSetUpPr fitToPage="1"/>
  </sheetPr>
  <dimension ref="A1:AD16"/>
  <sheetViews>
    <sheetView view="pageBreakPreview" zoomScale="89" zoomScaleNormal="100" zoomScaleSheetLayoutView="89" workbookViewId="0">
      <selection activeCell="Q34" sqref="Q34"/>
    </sheetView>
  </sheetViews>
  <sheetFormatPr defaultColWidth="9.140625" defaultRowHeight="11.25" customHeight="1" x14ac:dyDescent="0.2"/>
  <cols>
    <col min="1" max="1" width="5.7109375" style="48" customWidth="1"/>
    <col min="2" max="2" width="5.7109375" style="44" customWidth="1"/>
    <col min="3" max="3" width="29.85546875" style="44" customWidth="1"/>
    <col min="4" max="4" width="7.28515625" style="44" customWidth="1"/>
    <col min="5" max="5" width="12.28515625" style="44" customWidth="1"/>
    <col min="6" max="6" width="37.7109375" style="44" customWidth="1"/>
    <col min="7" max="7" width="8.7109375" style="44" customWidth="1"/>
    <col min="8" max="8" width="8.140625" style="44" hidden="1" customWidth="1"/>
    <col min="9" max="9" width="8.5703125" style="44" customWidth="1"/>
    <col min="10" max="10" width="10" style="44" customWidth="1"/>
    <col min="11" max="11" width="7.85546875" style="44" customWidth="1"/>
    <col min="12" max="12" width="9.7109375" style="44" customWidth="1"/>
    <col min="13" max="13" width="11" style="44" hidden="1" customWidth="1"/>
    <col min="14" max="14" width="14.28515625" style="44" customWidth="1"/>
    <col min="15" max="17" width="9.140625" style="44"/>
    <col min="18" max="18" width="107.85546875" style="45" hidden="1" customWidth="1"/>
    <col min="19" max="21" width="49.42578125" style="46" hidden="1" customWidth="1"/>
    <col min="22" max="24" width="47" style="49" hidden="1" customWidth="1"/>
    <col min="25" max="27" width="49.42578125" style="46" hidden="1" customWidth="1"/>
    <col min="28" max="30" width="47" style="49" hidden="1" customWidth="1"/>
    <col min="31" max="16384" width="9.140625" style="44"/>
  </cols>
  <sheetData>
    <row r="1" spans="1:18" ht="28.5" customHeight="1" x14ac:dyDescent="0.25">
      <c r="A1" s="54"/>
      <c r="B1" s="54"/>
      <c r="C1" s="54"/>
      <c r="D1" s="54"/>
      <c r="E1" s="119" t="s">
        <v>708</v>
      </c>
      <c r="F1" s="120"/>
    </row>
    <row r="2" spans="1:18" ht="11.25" customHeight="1" x14ac:dyDescent="0.2">
      <c r="A2" s="55"/>
      <c r="B2" s="55"/>
      <c r="C2" s="55"/>
      <c r="D2" s="55"/>
      <c r="E2" s="55"/>
      <c r="F2" s="55"/>
    </row>
    <row r="3" spans="1:18" ht="11.25" customHeight="1" x14ac:dyDescent="0.25">
      <c r="A3" s="121" t="s">
        <v>661</v>
      </c>
      <c r="B3" s="122"/>
      <c r="C3" s="122"/>
      <c r="D3" s="122"/>
      <c r="E3" s="122"/>
      <c r="F3" s="122"/>
    </row>
    <row r="4" spans="1:18" ht="11.25" customHeight="1" x14ac:dyDescent="0.2">
      <c r="A4" s="123" t="s">
        <v>654</v>
      </c>
      <c r="B4" s="123"/>
      <c r="C4" s="123"/>
      <c r="D4" s="123"/>
      <c r="E4" s="123"/>
      <c r="F4" s="123"/>
    </row>
    <row r="5" spans="1:18" s="24" customFormat="1" ht="9.75" customHeight="1" x14ac:dyDescent="0.25">
      <c r="A5" s="29"/>
      <c r="B5" s="30"/>
      <c r="C5" s="30"/>
      <c r="D5" s="30"/>
      <c r="E5" s="30"/>
      <c r="F5" s="30"/>
    </row>
    <row r="6" spans="1:18" s="24" customFormat="1" ht="36" customHeight="1" x14ac:dyDescent="0.25">
      <c r="A6" s="31" t="s">
        <v>0</v>
      </c>
      <c r="B6" s="32" t="s">
        <v>1</v>
      </c>
      <c r="C6" s="32" t="s">
        <v>2</v>
      </c>
      <c r="D6" s="32" t="s">
        <v>3</v>
      </c>
      <c r="E6" s="32" t="s">
        <v>4</v>
      </c>
      <c r="F6" s="32" t="s">
        <v>29</v>
      </c>
    </row>
    <row r="7" spans="1:18" s="24" customFormat="1" ht="15" x14ac:dyDescent="0.25">
      <c r="A7" s="33">
        <v>1</v>
      </c>
      <c r="B7" s="34">
        <v>2</v>
      </c>
      <c r="C7" s="34">
        <v>3</v>
      </c>
      <c r="D7" s="34">
        <v>4</v>
      </c>
      <c r="E7" s="34">
        <v>5</v>
      </c>
      <c r="F7" s="34">
        <v>6</v>
      </c>
    </row>
    <row r="8" spans="1:18" s="24" customFormat="1" ht="15" x14ac:dyDescent="0.25">
      <c r="A8" s="124" t="s">
        <v>556</v>
      </c>
      <c r="B8" s="124"/>
      <c r="C8" s="124"/>
      <c r="D8" s="124"/>
      <c r="E8" s="124"/>
      <c r="F8" s="124"/>
      <c r="R8" s="47" t="s">
        <v>556</v>
      </c>
    </row>
    <row r="9" spans="1:18" s="24" customFormat="1" ht="33.75" x14ac:dyDescent="0.25">
      <c r="A9" s="35">
        <f>IF(H9&lt;&gt;"",COUNTA(H$1:H9),"")</f>
        <v>1</v>
      </c>
      <c r="B9" s="36" t="s">
        <v>212</v>
      </c>
      <c r="C9" s="21" t="s">
        <v>557</v>
      </c>
      <c r="D9" s="37" t="s">
        <v>60</v>
      </c>
      <c r="E9" s="52">
        <v>395.28180520000001</v>
      </c>
      <c r="F9" s="21"/>
      <c r="H9" s="44" t="s">
        <v>8</v>
      </c>
      <c r="R9" s="47"/>
    </row>
    <row r="10" spans="1:18" ht="11.25" customHeight="1" x14ac:dyDescent="0.2">
      <c r="A10" s="27"/>
      <c r="B10" s="28"/>
      <c r="C10" s="28"/>
      <c r="D10" s="28"/>
      <c r="E10" s="28"/>
      <c r="F10" s="28"/>
    </row>
    <row r="11" spans="1:18" s="24" customFormat="1" ht="15" x14ac:dyDescent="0.25">
      <c r="A11" s="30"/>
      <c r="B11" s="50"/>
      <c r="C11" s="30"/>
      <c r="D11" s="50"/>
      <c r="E11" s="30"/>
      <c r="F11" s="50"/>
    </row>
    <row r="12" spans="1:18" ht="11.25" customHeight="1" x14ac:dyDescent="0.2">
      <c r="A12" s="27"/>
      <c r="B12" s="28"/>
      <c r="C12" s="28"/>
      <c r="D12" s="28"/>
      <c r="E12" s="28"/>
      <c r="F12" s="28"/>
    </row>
    <row r="13" spans="1:18" ht="11.25" customHeight="1" x14ac:dyDescent="0.2">
      <c r="A13" s="27"/>
      <c r="B13" s="28"/>
      <c r="C13" s="28"/>
      <c r="D13" s="28"/>
      <c r="E13" s="28"/>
      <c r="F13" s="28"/>
    </row>
    <row r="14" spans="1:18" ht="11.25" customHeight="1" x14ac:dyDescent="0.2">
      <c r="A14" s="27"/>
      <c r="B14" s="28"/>
      <c r="C14" s="28"/>
      <c r="D14" s="28"/>
      <c r="E14" s="28"/>
      <c r="F14" s="28"/>
    </row>
    <row r="15" spans="1:18" ht="11.25" customHeight="1" x14ac:dyDescent="0.2">
      <c r="A15" s="27"/>
      <c r="B15" s="28"/>
      <c r="C15" s="28"/>
      <c r="D15" s="28"/>
      <c r="E15" s="28"/>
      <c r="F15" s="28"/>
    </row>
    <row r="16" spans="1:18" ht="11.25" customHeight="1" x14ac:dyDescent="0.2">
      <c r="A16" s="27"/>
      <c r="B16" s="28"/>
      <c r="C16" s="28"/>
      <c r="D16" s="28"/>
      <c r="E16" s="28"/>
      <c r="F16" s="28"/>
    </row>
  </sheetData>
  <mergeCells count="4">
    <mergeCell ref="E1:F1"/>
    <mergeCell ref="A3:F3"/>
    <mergeCell ref="A4:F4"/>
    <mergeCell ref="A8:F8"/>
  </mergeCells>
  <printOptions horizontalCentered="1"/>
  <pageMargins left="0.78740155696868896" right="0.31496062874794001" top="0.31496062874794001" bottom="0.31496062874794001" header="0.19685038924217199" footer="0.19685038924217199"/>
  <pageSetup paperSize="9" scale="92" fitToHeight="0" orientation="portrait" r:id="rId1"/>
  <headerFooter>
    <oddFooter>&amp;RСтраница &amp;P</oddFooter>
  </headerFooter>
  <drawing r:id="rId2"/>
  <legacyDrawing r:id="rId3"/>
  <oleObjects>
    <mc:AlternateContent xmlns:mc="http://schemas.openxmlformats.org/markup-compatibility/2006">
      <mc:Choice Requires="x14">
        <oleObject progId="Word.Document.12" shapeId="10241" r:id="rId4">
          <objectPr defaultSize="0" autoPict="0" r:id="rId5">
            <anchor moveWithCells="1" sizeWithCells="1">
              <from>
                <xdr:col>0</xdr:col>
                <xdr:colOff>0</xdr:colOff>
                <xdr:row>13</xdr:row>
                <xdr:rowOff>38100</xdr:rowOff>
              </from>
              <to>
                <xdr:col>5</xdr:col>
                <xdr:colOff>2438400</xdr:colOff>
                <xdr:row>23</xdr:row>
                <xdr:rowOff>123825</xdr:rowOff>
              </to>
            </anchor>
          </objectPr>
        </oleObject>
      </mc:Choice>
      <mc:Fallback>
        <oleObject progId="Word.Document.12" shapeId="1024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16</vt:i4>
      </vt:variant>
    </vt:vector>
  </HeadingPairs>
  <TitlesOfParts>
    <vt:vector size="26" baseType="lpstr">
      <vt:lpstr>ВОР № 1</vt:lpstr>
      <vt:lpstr>ВОР № 1.1</vt:lpstr>
      <vt:lpstr>ВОР № 2</vt:lpstr>
      <vt:lpstr>ВОР № 2.1</vt:lpstr>
      <vt:lpstr>ВОР № 4</vt:lpstr>
      <vt:lpstr>ВОР № 5</vt:lpstr>
      <vt:lpstr>ВОР № 6</vt:lpstr>
      <vt:lpstr>ВОР № 7</vt:lpstr>
      <vt:lpstr>ВОР № 7.1</vt:lpstr>
      <vt:lpstr>ВОР № 9</vt:lpstr>
      <vt:lpstr>'ВОР № 1.1'!Заголовки_для_печати</vt:lpstr>
      <vt:lpstr>'ВОР № 2'!Заголовки_для_печати</vt:lpstr>
      <vt:lpstr>'ВОР № 2.1'!Заголовки_для_печати</vt:lpstr>
      <vt:lpstr>'ВОР № 5'!Заголовки_для_печати</vt:lpstr>
      <vt:lpstr>'ВОР № 6'!Заголовки_для_печати</vt:lpstr>
      <vt:lpstr>'ВОР № 7'!Заголовки_для_печати</vt:lpstr>
      <vt:lpstr>'ВОР № 7.1'!Заголовки_для_печати</vt:lpstr>
      <vt:lpstr>'ВОР № 9'!Заголовки_для_печати</vt:lpstr>
      <vt:lpstr>'ВОР № 1.1'!Область_печати</vt:lpstr>
      <vt:lpstr>'ВОР № 2'!Область_печати</vt:lpstr>
      <vt:lpstr>'ВОР № 2.1'!Область_печати</vt:lpstr>
      <vt:lpstr>'ВОР № 5'!Область_печати</vt:lpstr>
      <vt:lpstr>'ВОР № 6'!Область_печати</vt:lpstr>
      <vt:lpstr>'ВОР № 7'!Область_печати</vt:lpstr>
      <vt:lpstr>'ВОР № 7.1'!Область_печати</vt:lpstr>
      <vt:lpstr>'ВОР № 9'!Область_печати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Шанцева</cp:lastModifiedBy>
  <cp:lastPrinted>2023-06-08T12:07:32Z</cp:lastPrinted>
  <dcterms:created xsi:type="dcterms:W3CDTF">2020-09-30T08:50:27Z</dcterms:created>
  <dcterms:modified xsi:type="dcterms:W3CDTF">2026-08-12T03:33:44Z</dcterms:modified>
</cp:coreProperties>
</file>