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9040" windowHeight="15840" tabRatio="597" activeTab="1"/>
  </bookViews>
  <sheets>
    <sheet name="Протокол" sheetId="25" r:id="rId1"/>
    <sheet name="Расчет НМЦК" sheetId="21" r:id="rId2"/>
    <sheet name="Индексы инфляции" sheetId="24" r:id="rId3"/>
  </sheets>
  <definedNames>
    <definedName name="ИНд" localSheetId="2">#REF!</definedName>
    <definedName name="ИНд">#REF!</definedName>
    <definedName name="Индекс_МАТ" localSheetId="2">#REF!</definedName>
    <definedName name="Индекс_МАТ">#REF!</definedName>
    <definedName name="Индекс_ОТ" localSheetId="2">#REF!</definedName>
    <definedName name="Индекс_ОТ">#REF!</definedName>
    <definedName name="К_МАТ" localSheetId="2">#REF!</definedName>
    <definedName name="К_МАТ">#REF!</definedName>
    <definedName name="К_оборуд." localSheetId="2">#REF!</definedName>
    <definedName name="К_оборуд.">#REF!</definedName>
    <definedName name="К_ОТ" localSheetId="2">#REF!</definedName>
    <definedName name="К_ОТ">#REF!</definedName>
    <definedName name="К_ПНР" localSheetId="2">#REF!</definedName>
    <definedName name="К_ПНР">#REF!</definedName>
    <definedName name="К_ЭкМех" localSheetId="2">#REF!</definedName>
    <definedName name="К_ЭкМех">#REF!</definedName>
    <definedName name="Коборуд." localSheetId="2">#REF!</definedName>
    <definedName name="Коборуд.">#REF!</definedName>
    <definedName name="Кпусконал." localSheetId="2">#REF!</definedName>
    <definedName name="Кпусконал.">#REF!</definedName>
    <definedName name="Ксмр" localSheetId="2">#REF!</definedName>
    <definedName name="Ксмр">#REF!</definedName>
    <definedName name="МАТ" localSheetId="2">#REF!</definedName>
    <definedName name="МАТ">#REF!</definedName>
    <definedName name="ОТ" localSheetId="2">#REF!</definedName>
    <definedName name="ОТ">#REF!</definedName>
  </definedNames>
  <calcPr calcId="144525"/>
</workbook>
</file>

<file path=xl/calcChain.xml><?xml version="1.0" encoding="utf-8"?>
<calcChain xmlns="http://schemas.openxmlformats.org/spreadsheetml/2006/main">
  <c r="G38" i="21" l="1"/>
  <c r="G39" i="21" s="1"/>
  <c r="G40" i="21" l="1"/>
  <c r="G24" i="21" l="1"/>
  <c r="E24" i="21"/>
  <c r="C24" i="21"/>
  <c r="G25" i="21"/>
  <c r="E25" i="21"/>
  <c r="G8" i="24" l="1"/>
  <c r="C53" i="24" l="1"/>
  <c r="C13" i="21" l="1"/>
  <c r="K64" i="24" l="1"/>
  <c r="E15" i="21" l="1"/>
  <c r="G15" i="21" s="1"/>
  <c r="E17" i="21"/>
  <c r="G17" i="21" s="1"/>
  <c r="E18" i="21"/>
  <c r="G18" i="21" s="1"/>
  <c r="E19" i="21"/>
  <c r="G19" i="21" s="1"/>
  <c r="E20" i="21"/>
  <c r="G20" i="21" s="1"/>
  <c r="E21" i="21"/>
  <c r="G21" i="21" s="1"/>
  <c r="E22" i="21"/>
  <c r="G22" i="21" s="1"/>
  <c r="E16" i="21"/>
  <c r="G16" i="21" s="1"/>
  <c r="C33" i="21" l="1"/>
  <c r="E34" i="21" l="1"/>
  <c r="G34" i="21" l="1"/>
  <c r="G33" i="21" s="1"/>
  <c r="E33" i="21"/>
  <c r="C35" i="21" l="1"/>
  <c r="E29" i="21" l="1"/>
  <c r="G29" i="21" s="1"/>
  <c r="E26" i="21" l="1"/>
  <c r="G26" i="21" l="1"/>
  <c r="E28" i="21" l="1"/>
  <c r="G28" i="21" s="1"/>
  <c r="E27" i="21"/>
  <c r="E14" i="21"/>
  <c r="E13" i="21" s="1"/>
  <c r="G27" i="21" l="1"/>
  <c r="E35" i="21"/>
  <c r="G14" i="21"/>
  <c r="G13" i="21" s="1"/>
  <c r="K60" i="24"/>
  <c r="G35" i="21" l="1"/>
  <c r="C36" i="21"/>
  <c r="E36" i="21" l="1"/>
  <c r="G36" i="21" l="1"/>
  <c r="A14" i="25" l="1"/>
</calcChain>
</file>

<file path=xl/sharedStrings.xml><?xml version="1.0" encoding="utf-8"?>
<sst xmlns="http://schemas.openxmlformats.org/spreadsheetml/2006/main" count="160" uniqueCount="105">
  <si>
    <t>1.</t>
  </si>
  <si>
    <t>2.</t>
  </si>
  <si>
    <t>3.</t>
  </si>
  <si>
    <t>4.</t>
  </si>
  <si>
    <t>5.</t>
  </si>
  <si>
    <t>6.</t>
  </si>
  <si>
    <t>Наименование работ и затрат</t>
  </si>
  <si>
    <t>Индекс фактической инфляции</t>
  </si>
  <si>
    <t>Стоимость с учетом НДС</t>
  </si>
  <si>
    <t>Индекс прогнозной инфляции на период выполнения работ</t>
  </si>
  <si>
    <t>Утвержденный сводный сметный расчет.</t>
  </si>
  <si>
    <t>Основания для расчета:</t>
  </si>
  <si>
    <t>Основание:</t>
  </si>
  <si>
    <t>Расчет индекса прогнозной инфляции</t>
  </si>
  <si>
    <t>Значение индекса:</t>
  </si>
  <si>
    <t xml:space="preserve">Строительно-монтажные работы, в том числе:
</t>
  </si>
  <si>
    <t xml:space="preserve">Затраты на осуществление работ вахтовым методом, командирование рабочих, перебазирование строительно-монтажных организаций
</t>
  </si>
  <si>
    <t xml:space="preserve">Удорожание работ в зимнее время
</t>
  </si>
  <si>
    <t xml:space="preserve">Резерв средств на непредвиденные работы и затраты
</t>
  </si>
  <si>
    <t>7.</t>
  </si>
  <si>
    <t xml:space="preserve">Стоимость без учета НДС
</t>
  </si>
  <si>
    <t xml:space="preserve">Индекс прогнозной инфляции на период выполнения работ рассчитан по формуле:
</t>
  </si>
  <si>
    <t>Временные здания и сооружения, в том числе:</t>
  </si>
  <si>
    <t xml:space="preserve">Стоимость оборудования, в том числе:
</t>
  </si>
  <si>
    <t>Пусконаладочные работы, в том числе:</t>
  </si>
  <si>
    <t>Прочие работы и затраты, в том числе:</t>
  </si>
  <si>
    <t>8.</t>
  </si>
  <si>
    <t>Расчет индекса фактической инфляции</t>
  </si>
  <si>
    <t>1.2.</t>
  </si>
  <si>
    <t>январь</t>
  </si>
  <si>
    <t>февраль</t>
  </si>
  <si>
    <t>март</t>
  </si>
  <si>
    <t>Официальная статистическая информация об индексах цен на продукцию (затраты, услуги) инвестиционного назначения по видам экономической деятельности (строительство), публикуемой Федеральной службой государственной статистики для соответствующего периода в целом по Российской Федерации (https://www.fedstat.ru, https://showdata.gks.ru)</t>
  </si>
  <si>
    <t>апрель</t>
  </si>
  <si>
    <t>май</t>
  </si>
  <si>
    <t>июль</t>
  </si>
  <si>
    <t>август</t>
  </si>
  <si>
    <t>сентябрь</t>
  </si>
  <si>
    <t>октябрь</t>
  </si>
  <si>
    <t>ноябрь</t>
  </si>
  <si>
    <t>декабрь</t>
  </si>
  <si>
    <t>1.1.</t>
  </si>
  <si>
    <t>1.3.</t>
  </si>
  <si>
    <t>1.4.</t>
  </si>
  <si>
    <t>1.5.</t>
  </si>
  <si>
    <t>Обоснование начальной (максимальной) цены контракта</t>
  </si>
  <si>
    <t xml:space="preserve">Начальная (максимальная) цена контракта определена муниципальным заказчиком посредством применения проектно-сметного метода с учетом положений ч. 22 ст. 22 Федерального закона от 05.04.2013  № 44-ФЗ "О контрактной системе в сфере закупок товаров, работ, услуг для обеспечения государственных и муниципальных нужд" в соответствии с Порядком определения начальной (максимальной) цены контракта, цены контракта, заключаемого с единственным поставщиком (подрядчиком, исполнителем), начальной цены единицы товара, работы, услуги при осуществлении закупок в сфере градостроительной деятельности (за исключением территориального планирования), утвержденным Приказом Минстроя России от 23.12.2019 N 841/пр.                                                                               Расчет начальной (максимальной) цены контракта произведен с использованием федеральных единичных расценок и сметных цен на материалы, изделия и конструкции, применяемые в строительстве, а также в соответствии с методикой определения сметной стоимости строительства, реконструкции, капитального ремонта, сноса объектов капитального строительства, работ по сохранению объектов культурного наследия (памятников истории и культуры) народов Российской Федерации на территории Российской Федерации", утвержденной Приказом Минстроя России от 04.08.2020 № 421/пр, и иными государственными сметными нормативами, включенными в федеральный реестр сметных нормативов.                                                                                                                                                             Начальная (максимальная) цена определена на основании утвержденной в составе проектной документации сметной документации, в отношении которой получено положительное заключение государственной экспертизы
</t>
  </si>
  <si>
    <t>Протокол</t>
  </si>
  <si>
    <t>начальной (максимальной) цены контракта</t>
  </si>
  <si>
    <t>Начальная (максимальная) цена контракта:</t>
  </si>
  <si>
    <t>Начальная (максимальная) цена контракта включает в себя расходы на:</t>
  </si>
  <si>
    <t>- строительно-монтажные работы</t>
  </si>
  <si>
    <t>- непредвиденные работы и затраты</t>
  </si>
  <si>
    <t>Приложение:</t>
  </si>
  <si>
    <t>Расчет начальной (максимальной) цены муниципального контракта</t>
  </si>
  <si>
    <t>Приложение к протоколу начальной (максимальной) цены контракта</t>
  </si>
  <si>
    <r>
      <t xml:space="preserve">              Расчет начальной (максимальной) цены муниципального контракта (далее - НМЦК) 
</t>
    </r>
    <r>
      <rPr>
        <sz val="9"/>
        <rFont val="Arial Cyr"/>
        <charset val="204"/>
      </rPr>
      <t>на выполнение работ по капитальному ремонту</t>
    </r>
  </si>
  <si>
    <t>июнь</t>
  </si>
  <si>
    <t>индекс-дефлятор на 2026 год (%)</t>
  </si>
  <si>
    <t xml:space="preserve">индексы-дефляторы Министерства экономического развития Российской Федерации по строке "Инвестиции в основной капитал (капитальные вложения)" согласно Прогнозу социально-экономического развития Российской Федерации на 2026 год и на плановый период 2027 и 2028 годов" (https://economy.gov.ru)
</t>
  </si>
  <si>
    <t>НДС (размер ставки 22%)</t>
  </si>
  <si>
    <t>- оборудование</t>
  </si>
  <si>
    <t>- НДС 22%</t>
  </si>
  <si>
    <t>1.6.</t>
  </si>
  <si>
    <t>1.7.</t>
  </si>
  <si>
    <t>3.1.</t>
  </si>
  <si>
    <t>3.2.</t>
  </si>
  <si>
    <t>НМЦК с учетом индекса прогнозной инфляции на период выполнения работ</t>
  </si>
  <si>
    <t>Индекс прогнозной инфляции на один месяц 2026 год</t>
  </si>
  <si>
    <t>3.3.</t>
  </si>
  <si>
    <t>3.4.</t>
  </si>
  <si>
    <t>Демонтажные работы
(Приложение № 1 к обоснованию НМЦК)</t>
  </si>
  <si>
    <t>Архитектурно-строительные решения
(Приложение № 3 к обоснованию НМЦК)</t>
  </si>
  <si>
    <t>Демонтажные работы (дополнительные работы)
(Приложение № 2 к обоснованию НМЦК)</t>
  </si>
  <si>
    <t>Архитектурно-строительные решения (дополнительные работы) (Приложение № 4 к обоснованию НМЦК)</t>
  </si>
  <si>
    <t>1.8.</t>
  </si>
  <si>
    <t>1.9.</t>
  </si>
  <si>
    <t>2 квартал 2022 года</t>
  </si>
  <si>
    <t xml:space="preserve">где:                                                                                                                                                                                               
n - период от даты определения НМЦК до даты окончания работ, мес.
</t>
  </si>
  <si>
    <t>- прочие работы и затраты (размещение, утилизация и обезвреживание отходов строительного производства)</t>
  </si>
  <si>
    <t>7.1.</t>
  </si>
  <si>
    <t>Система водоснабжения и водоотведения
(Приложение № 6 к обоснованию НМЦК)</t>
  </si>
  <si>
    <t>Отопление, вентиляция
(Приложение № 7 к обоснованию НМЦК)</t>
  </si>
  <si>
    <t>Сети связи
(Приложение № 8 к обоснованию НМЦК)</t>
  </si>
  <si>
    <t>Сети связи (дополнительные работы)
(Приложение № 9 к обоснованию НМЦК)</t>
  </si>
  <si>
    <t xml:space="preserve">Стоимость работ в ценах на дату утверждения сметной документации,
по позициям 1.1, 1.3, 1.5 - 1.8 - 2 квартал 2022 года, по позициям 1.2, 1.4, 1.9, 3.4, 7.1 - 1 квартал 2026 года </t>
  </si>
  <si>
    <t xml:space="preserve">по объекту: "Капитальный ремонт здания БОУ г. Омска «Средняя общеобразовательная школа №119», расположенного по адресу: г. Омск, ул. Талалихина, д. 29А"
</t>
  </si>
  <si>
    <t>по адресу:  г. Омск, ул. Талалихина, д. 29А</t>
  </si>
  <si>
    <t>Системы водоснабжения и водоотведения
(Приложение № 6 к обоснованию НМЦК)</t>
  </si>
  <si>
    <t xml:space="preserve">Объект закупки: выполнение работ по капитальному ремонту объекта:  "Капитальный ремонт здания БОУ г. Омска «Средняя общеобразовательная школа №119», расположенного по адресу: г. Омск, ул. Талалихина, д. 29А"
</t>
  </si>
  <si>
    <t>Размещение, утилизация и обезвреживание отходов строительного производства (дополнительные работы)
(Приложение № 10 к обоснованию НМЦК)</t>
  </si>
  <si>
    <t>1 квартал 2026 года</t>
  </si>
  <si>
    <t>Значение:</t>
  </si>
  <si>
    <t>Дата обоснования НМЦК: 04.08.2026</t>
  </si>
  <si>
    <t>Начало работ - сентябрь 2026 года.</t>
  </si>
  <si>
    <t>Окончание работ - декабрь 2026 года.</t>
  </si>
  <si>
    <t>Продолжительность работ - 4,5 месяцев</t>
  </si>
  <si>
    <r>
      <t>Расчет прогнозного индекса инфляции: (1,0045</t>
    </r>
    <r>
      <rPr>
        <vertAlign val="superscript"/>
        <sz val="10"/>
        <rFont val="Arial Cyr"/>
        <charset val="204"/>
      </rPr>
      <t>5</t>
    </r>
    <r>
      <rPr>
        <sz val="10"/>
        <rFont val="Arial Cyr"/>
        <charset val="204"/>
      </rPr>
      <t>-1)/2+1= 1,0114</t>
    </r>
  </si>
  <si>
    <t>Стоимость работ в ценах на дату формирования НМЦК,
август 2026 года</t>
  </si>
  <si>
    <t>(Шестьдесят один миллион девятьсот двадцать три тысячи сто пятьдесят один) рубль 99 копеек</t>
  </si>
  <si>
    <t>Система электроснабжения
(Приложение № 5 к обоснованию НМЦК)</t>
  </si>
  <si>
    <t>3.5.</t>
  </si>
  <si>
    <t>Коэффициент муниципального заказчика с учетом лимитов бюджетных обязательств</t>
  </si>
  <si>
    <t>Стоимость без учета НДС с учетом коэффициента муниципального заказчика с учетом лимитов бюджетных обязательств</t>
  </si>
  <si>
    <r>
      <t xml:space="preserve">Заключение государственной экспертизы в части проверки достоверности определения сметной стоимости строительства объекта </t>
    </r>
    <r>
      <rPr>
        <sz val="10"/>
        <color rgb="FFFF0000"/>
        <rFont val="Arial Cyr"/>
        <charset val="204"/>
      </rPr>
      <t>от 04.08.2022 № 55-1-1-2-054639-2022</t>
    </r>
    <r>
      <rPr>
        <sz val="10"/>
        <rFont val="Arial Cyr"/>
        <charset val="204"/>
      </rPr>
      <t xml:space="preserve"> и 
от 18.03.2026 № 55-1-1-2-010690-2026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</si>
</sst>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_-;\-* #,##0.00_-;_-* &quot;-&quot;??_-;_-@_-"/>
    <numFmt numFmtId="165" formatCode="#,##0.0000000000"/>
    <numFmt numFmtId="166" formatCode="0.0000"/>
    <numFmt numFmtId="167" formatCode="#,##0.0000"/>
    <numFmt numFmtId="168" formatCode="0.000000"/>
    <numFmt numFmtId="169" formatCode="_-* #,##0.00_р_._-;\-* #,##0.00_р_._-;_-* &quot;-&quot;??_р_._-;_-@_-"/>
    <numFmt numFmtId="170" formatCode="_-* #,##0.0000_-;\-* #,##0.0000_-;_-* &quot;-&quot;??_-;_-@_-"/>
    <numFmt numFmtId="201" formatCode="0.0000000000000000000000000000000000"/>
  </numFmts>
  <fonts count="17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  <font>
      <sz val="9"/>
      <name val="Arial Cyr"/>
      <charset val="204"/>
    </font>
    <font>
      <b/>
      <sz val="11"/>
      <color theme="1"/>
      <name val="Calibri"/>
      <family val="2"/>
      <charset val="204"/>
      <scheme val="minor"/>
    </font>
    <font>
      <b/>
      <sz val="9"/>
      <name val="Arial Cyr"/>
      <charset val="204"/>
    </font>
    <font>
      <sz val="10"/>
      <name val="Arial Cyr"/>
      <charset val="204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10"/>
      <name val="Arial Cyr"/>
      <charset val="204"/>
    </font>
    <font>
      <b/>
      <sz val="11"/>
      <name val="Calibri"/>
      <family val="2"/>
      <charset val="204"/>
      <scheme val="minor"/>
    </font>
    <font>
      <sz val="10"/>
      <color rgb="FFFF0000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164" fontId="9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" fillId="0" borderId="0"/>
    <xf numFmtId="0" fontId="12" fillId="0" borderId="0">
      <alignment horizontal="right" vertical="top" wrapText="1"/>
    </xf>
    <xf numFmtId="0" fontId="12" fillId="0" borderId="1">
      <alignment horizontal="center" wrapText="1"/>
    </xf>
    <xf numFmtId="0" fontId="13" fillId="0" borderId="1" applyBorder="0" applyAlignment="0">
      <alignment horizontal="center" wrapText="1"/>
    </xf>
    <xf numFmtId="0" fontId="12" fillId="0" borderId="0">
      <alignment horizontal="center"/>
    </xf>
    <xf numFmtId="0" fontId="12" fillId="0" borderId="0">
      <alignment horizontal="left" vertical="top"/>
    </xf>
    <xf numFmtId="0" fontId="3" fillId="0" borderId="0"/>
    <xf numFmtId="0" fontId="9" fillId="0" borderId="0"/>
    <xf numFmtId="164" fontId="9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</cellStyleXfs>
  <cellXfs count="91">
    <xf numFmtId="0" fontId="0" fillId="0" borderId="0" xfId="0"/>
    <xf numFmtId="4" fontId="6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4" fontId="6" fillId="0" borderId="0" xfId="0" applyNumberFormat="1" applyFont="1" applyAlignment="1">
      <alignment horizontal="right" vertical="center" wrapText="1"/>
    </xf>
    <xf numFmtId="0" fontId="6" fillId="0" borderId="0" xfId="0" applyFont="1"/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top" wrapText="1"/>
    </xf>
    <xf numFmtId="4" fontId="6" fillId="0" borderId="1" xfId="0" applyNumberFormat="1" applyFont="1" applyBorder="1" applyAlignment="1">
      <alignment vertical="top"/>
    </xf>
    <xf numFmtId="49" fontId="6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/>
    </xf>
    <xf numFmtId="0" fontId="6" fillId="0" borderId="0" xfId="0" applyFont="1" applyAlignment="1">
      <alignment wrapText="1"/>
    </xf>
    <xf numFmtId="4" fontId="6" fillId="0" borderId="0" xfId="0" applyNumberFormat="1" applyFont="1"/>
    <xf numFmtId="0" fontId="5" fillId="0" borderId="0" xfId="0" applyFont="1"/>
    <xf numFmtId="0" fontId="6" fillId="0" borderId="0" xfId="0" applyFont="1" applyAlignment="1">
      <alignment vertical="center" wrapText="1"/>
    </xf>
    <xf numFmtId="4" fontId="6" fillId="2" borderId="1" xfId="0" applyNumberFormat="1" applyFont="1" applyFill="1" applyBorder="1" applyAlignment="1">
      <alignment vertical="top"/>
    </xf>
    <xf numFmtId="49" fontId="6" fillId="2" borderId="1" xfId="0" applyNumberFormat="1" applyFont="1" applyFill="1" applyBorder="1" applyAlignment="1">
      <alignment vertical="top" wrapText="1"/>
    </xf>
    <xf numFmtId="167" fontId="6" fillId="2" borderId="1" xfId="0" applyNumberFormat="1" applyFont="1" applyFill="1" applyBorder="1" applyAlignment="1">
      <alignment vertical="top"/>
    </xf>
    <xf numFmtId="167" fontId="6" fillId="0" borderId="1" xfId="0" applyNumberFormat="1" applyFont="1" applyBorder="1" applyAlignment="1">
      <alignment vertical="top"/>
    </xf>
    <xf numFmtId="166" fontId="0" fillId="0" borderId="0" xfId="0" applyNumberFormat="1"/>
    <xf numFmtId="164" fontId="6" fillId="0" borderId="0" xfId="1" applyFont="1"/>
    <xf numFmtId="4" fontId="0" fillId="0" borderId="0" xfId="0" applyNumberFormat="1" applyAlignment="1">
      <alignment horizontal="left" vertical="top"/>
    </xf>
    <xf numFmtId="166" fontId="5" fillId="0" borderId="0" xfId="0" applyNumberFormat="1" applyFont="1"/>
    <xf numFmtId="168" fontId="6" fillId="0" borderId="0" xfId="0" applyNumberFormat="1" applyFont="1"/>
    <xf numFmtId="0" fontId="0" fillId="0" borderId="0" xfId="0" applyAlignment="1">
      <alignment horizontal="center"/>
    </xf>
    <xf numFmtId="0" fontId="10" fillId="0" borderId="0" xfId="0" applyFont="1" applyAlignment="1">
      <alignment horizontal="justify" vertical="top" wrapText="1"/>
    </xf>
    <xf numFmtId="170" fontId="0" fillId="0" borderId="0" xfId="1" applyNumberFormat="1" applyFont="1"/>
    <xf numFmtId="170" fontId="5" fillId="0" borderId="0" xfId="1" applyNumberFormat="1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49" fontId="0" fillId="0" borderId="0" xfId="0" applyNumberFormat="1" applyAlignment="1">
      <alignment horizontal="justify" vertical="top" wrapText="1"/>
    </xf>
    <xf numFmtId="4" fontId="0" fillId="0" borderId="0" xfId="0" applyNumberFormat="1" applyAlignment="1">
      <alignment vertical="top" wrapText="1"/>
    </xf>
    <xf numFmtId="4" fontId="6" fillId="0" borderId="1" xfId="0" applyNumberFormat="1" applyFont="1" applyFill="1" applyBorder="1" applyAlignment="1">
      <alignment vertical="top"/>
    </xf>
    <xf numFmtId="49" fontId="0" fillId="0" borderId="0" xfId="0" applyNumberFormat="1" applyFont="1" applyAlignment="1">
      <alignment horizontal="justify" vertical="top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justify" vertical="top" wrapText="1"/>
    </xf>
    <xf numFmtId="49" fontId="6" fillId="0" borderId="1" xfId="0" applyNumberFormat="1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justify" vertical="top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top" wrapText="1"/>
    </xf>
    <xf numFmtId="0" fontId="6" fillId="0" borderId="0" xfId="0" applyFont="1" applyFill="1"/>
    <xf numFmtId="0" fontId="10" fillId="0" borderId="0" xfId="0" applyFont="1" applyAlignment="1">
      <alignment horizontal="justify" vertical="top" wrapText="1"/>
    </xf>
    <xf numFmtId="0" fontId="0" fillId="0" borderId="0" xfId="0" applyFont="1" applyAlignment="1">
      <alignment horizontal="center"/>
    </xf>
    <xf numFmtId="0" fontId="10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justify" vertical="top" wrapText="1"/>
    </xf>
    <xf numFmtId="0" fontId="10" fillId="0" borderId="0" xfId="0" applyFont="1" applyAlignment="1">
      <alignment horizontal="justify" vertical="top" wrapText="1"/>
    </xf>
    <xf numFmtId="0" fontId="15" fillId="0" borderId="0" xfId="0" applyFont="1" applyAlignment="1">
      <alignment horizontal="justify" vertical="top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justify" vertical="top" wrapText="1"/>
    </xf>
    <xf numFmtId="167" fontId="6" fillId="0" borderId="1" xfId="0" applyNumberFormat="1" applyFont="1" applyFill="1" applyBorder="1" applyAlignment="1">
      <alignment vertical="top"/>
    </xf>
    <xf numFmtId="49" fontId="0" fillId="0" borderId="0" xfId="0" applyNumberFormat="1" applyAlignment="1">
      <alignment horizontal="justify" vertical="top" wrapText="1"/>
    </xf>
    <xf numFmtId="4" fontId="5" fillId="0" borderId="0" xfId="0" applyNumberFormat="1" applyFont="1" applyAlignment="1">
      <alignment horizontal="center" wrapText="1"/>
    </xf>
    <xf numFmtId="4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left" vertical="justify" wrapText="1"/>
    </xf>
    <xf numFmtId="49" fontId="5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justify" vertical="top" wrapText="1"/>
    </xf>
    <xf numFmtId="49" fontId="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wrapText="1"/>
    </xf>
    <xf numFmtId="49" fontId="0" fillId="0" borderId="2" xfId="0" applyNumberForma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top"/>
    </xf>
    <xf numFmtId="49" fontId="0" fillId="0" borderId="0" xfId="0" applyNumberFormat="1" applyFont="1" applyAlignment="1">
      <alignment horizontal="left" vertical="top" wrapText="1"/>
    </xf>
    <xf numFmtId="4" fontId="0" fillId="0" borderId="0" xfId="0" applyNumberFormat="1" applyFont="1" applyAlignment="1">
      <alignment horizontal="left" vertical="top"/>
    </xf>
    <xf numFmtId="165" fontId="0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justify" vertical="top" wrapText="1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 applyAlignment="1">
      <alignment horizontal="justify" vertical="top" wrapText="1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 vertical="top" wrapText="1"/>
    </xf>
    <xf numFmtId="4" fontId="6" fillId="3" borderId="1" xfId="0" applyNumberFormat="1" applyFont="1" applyFill="1" applyBorder="1" applyAlignment="1">
      <alignment vertical="top"/>
    </xf>
    <xf numFmtId="49" fontId="6" fillId="3" borderId="1" xfId="0" applyNumberFormat="1" applyFont="1" applyFill="1" applyBorder="1" applyAlignment="1">
      <alignment vertical="top" wrapText="1"/>
    </xf>
    <xf numFmtId="167" fontId="6" fillId="3" borderId="1" xfId="0" applyNumberFormat="1" applyFont="1" applyFill="1" applyBorder="1" applyAlignment="1">
      <alignment vertical="top"/>
    </xf>
    <xf numFmtId="201" fontId="6" fillId="0" borderId="0" xfId="0" applyNumberFormat="1" applyFont="1"/>
  </cellXfs>
  <cellStyles count="15">
    <cellStyle name="Итоги" xfId="4"/>
    <cellStyle name="ЛокСмета" xfId="5"/>
    <cellStyle name="Обычный" xfId="0" builtinId="0"/>
    <cellStyle name="Обычный 2" xfId="3"/>
    <cellStyle name="Обычный 2 2" xfId="9"/>
    <cellStyle name="Обычный 3" xfId="10"/>
    <cellStyle name="ПИР" xfId="6"/>
    <cellStyle name="Титул" xfId="7"/>
    <cellStyle name="Финансовый" xfId="1" builtinId="3"/>
    <cellStyle name="Финансовый 2" xfId="2"/>
    <cellStyle name="Финансовый 2 2" xfId="13"/>
    <cellStyle name="Финансовый 2 9" xfId="14"/>
    <cellStyle name="Финансовый 3" xfId="11"/>
    <cellStyle name="Финансовый 3 2" xfId="12"/>
    <cellStyle name="Хвост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61</xdr:row>
      <xdr:rowOff>333375</xdr:rowOff>
    </xdr:from>
    <xdr:to>
      <xdr:col>4</xdr:col>
      <xdr:colOff>19050</xdr:colOff>
      <xdr:row>61</xdr:row>
      <xdr:rowOff>685800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6467475"/>
          <a:ext cx="236220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opLeftCell="A4" workbookViewId="0">
      <selection activeCell="A10" sqref="A10:B10"/>
    </sheetView>
  </sheetViews>
  <sheetFormatPr defaultRowHeight="12.75" x14ac:dyDescent="0.2"/>
  <cols>
    <col min="1" max="1" width="31.28515625" customWidth="1"/>
    <col min="2" max="2" width="72.5703125" customWidth="1"/>
  </cols>
  <sheetData>
    <row r="1" spans="1:7" ht="12.75" customHeight="1" x14ac:dyDescent="0.2">
      <c r="A1" s="58" t="s">
        <v>45</v>
      </c>
      <c r="B1" s="58"/>
      <c r="C1" s="33"/>
      <c r="D1" s="33"/>
      <c r="E1" s="33"/>
      <c r="F1" s="33"/>
      <c r="G1" s="33"/>
    </row>
    <row r="2" spans="1:7" x14ac:dyDescent="0.2">
      <c r="A2" s="59"/>
      <c r="B2" s="59"/>
      <c r="C2" s="33"/>
      <c r="D2" s="33"/>
      <c r="E2" s="33"/>
      <c r="F2" s="33"/>
      <c r="G2" s="33"/>
    </row>
    <row r="3" spans="1:7" ht="203.25" customHeight="1" x14ac:dyDescent="0.2">
      <c r="A3" s="60" t="s">
        <v>46</v>
      </c>
      <c r="B3" s="60"/>
      <c r="C3" s="33"/>
      <c r="D3" s="33"/>
      <c r="E3" s="33"/>
      <c r="F3" s="33"/>
      <c r="G3" s="33"/>
    </row>
    <row r="4" spans="1:7" x14ac:dyDescent="0.2">
      <c r="A4" s="59"/>
      <c r="B4" s="59"/>
      <c r="C4" s="33"/>
      <c r="D4" s="33"/>
      <c r="E4" s="33"/>
      <c r="F4" s="33"/>
      <c r="G4" s="33"/>
    </row>
    <row r="5" spans="1:7" x14ac:dyDescent="0.2">
      <c r="A5" s="34"/>
      <c r="B5" s="35"/>
      <c r="C5" s="33"/>
      <c r="D5" s="33"/>
      <c r="E5" s="33"/>
      <c r="F5" s="33"/>
      <c r="G5" s="33"/>
    </row>
    <row r="6" spans="1:7" x14ac:dyDescent="0.2">
      <c r="A6" s="61" t="s">
        <v>47</v>
      </c>
      <c r="B6" s="61"/>
      <c r="C6" s="33"/>
      <c r="D6" s="33"/>
      <c r="E6" s="33"/>
      <c r="F6" s="33"/>
      <c r="G6" s="33"/>
    </row>
    <row r="7" spans="1:7" ht="12.75" customHeight="1" x14ac:dyDescent="0.2">
      <c r="A7" s="61" t="s">
        <v>48</v>
      </c>
      <c r="B7" s="61"/>
      <c r="C7" s="33"/>
      <c r="D7" s="33"/>
      <c r="E7" s="33"/>
      <c r="F7" s="33"/>
      <c r="G7" s="33"/>
    </row>
    <row r="8" spans="1:7" x14ac:dyDescent="0.2">
      <c r="A8" s="34"/>
      <c r="B8" s="35"/>
      <c r="C8" s="33"/>
      <c r="D8" s="33"/>
      <c r="E8" s="33"/>
      <c r="F8" s="33"/>
      <c r="G8" s="33"/>
    </row>
    <row r="9" spans="1:7" ht="30" customHeight="1" x14ac:dyDescent="0.2">
      <c r="A9" s="62" t="s">
        <v>89</v>
      </c>
      <c r="B9" s="62"/>
      <c r="C9" s="33"/>
      <c r="D9" s="33"/>
      <c r="E9" s="33"/>
      <c r="F9" s="33"/>
      <c r="G9" s="33"/>
    </row>
    <row r="10" spans="1:7" ht="12.75" customHeight="1" x14ac:dyDescent="0.2">
      <c r="A10" s="63"/>
      <c r="B10" s="63"/>
      <c r="C10" s="2"/>
      <c r="D10" s="2"/>
      <c r="E10" s="2"/>
      <c r="F10" s="2"/>
      <c r="G10" s="2"/>
    </row>
    <row r="11" spans="1:7" ht="12.75" customHeight="1" x14ac:dyDescent="0.2">
      <c r="A11" s="57"/>
      <c r="B11" s="57"/>
      <c r="C11" s="33"/>
      <c r="D11" s="33"/>
      <c r="E11" s="33"/>
      <c r="F11" s="33"/>
      <c r="G11" s="33"/>
    </row>
    <row r="12" spans="1:7" x14ac:dyDescent="0.2">
      <c r="A12" s="34"/>
      <c r="B12" s="35"/>
      <c r="C12" s="33"/>
      <c r="D12" s="33"/>
      <c r="E12" s="33"/>
      <c r="F12" s="33"/>
      <c r="G12" s="33"/>
    </row>
    <row r="13" spans="1:7" ht="12.75" customHeight="1" x14ac:dyDescent="0.2">
      <c r="A13" s="57" t="s">
        <v>49</v>
      </c>
      <c r="B13" s="57"/>
      <c r="C13" s="33"/>
      <c r="D13" s="33"/>
      <c r="E13" s="33"/>
      <c r="F13" s="33"/>
      <c r="G13" s="33"/>
    </row>
    <row r="14" spans="1:7" ht="25.5" x14ac:dyDescent="0.2">
      <c r="A14" s="36">
        <f>'Расчет НМЦК'!G40</f>
        <v>61923151.990000002</v>
      </c>
      <c r="B14" s="38" t="s">
        <v>99</v>
      </c>
      <c r="C14" s="33"/>
      <c r="D14" s="33"/>
      <c r="E14" s="33"/>
      <c r="F14" s="33"/>
      <c r="G14" s="33"/>
    </row>
    <row r="15" spans="1:7" x14ac:dyDescent="0.2">
      <c r="A15" s="34"/>
      <c r="B15" s="35"/>
      <c r="C15" s="33"/>
      <c r="D15" s="33"/>
      <c r="E15" s="33"/>
      <c r="F15" s="33"/>
      <c r="G15" s="33"/>
    </row>
    <row r="16" spans="1:7" ht="12.75" customHeight="1" x14ac:dyDescent="0.2">
      <c r="A16" s="57" t="s">
        <v>50</v>
      </c>
      <c r="B16" s="57"/>
      <c r="C16" s="33"/>
      <c r="D16" s="33"/>
      <c r="E16" s="33"/>
      <c r="F16" s="33"/>
      <c r="G16" s="33"/>
    </row>
    <row r="17" spans="1:7" ht="12.75" customHeight="1" x14ac:dyDescent="0.2">
      <c r="A17" s="57" t="s">
        <v>51</v>
      </c>
      <c r="B17" s="57"/>
      <c r="C17" s="33"/>
      <c r="D17" s="33"/>
      <c r="E17" s="33"/>
      <c r="F17" s="33"/>
      <c r="G17" s="33"/>
    </row>
    <row r="18" spans="1:7" ht="12.75" customHeight="1" x14ac:dyDescent="0.2">
      <c r="A18" s="64" t="s">
        <v>61</v>
      </c>
      <c r="B18" s="64"/>
      <c r="C18" s="33"/>
      <c r="D18" s="33"/>
      <c r="E18" s="33"/>
      <c r="F18" s="33"/>
      <c r="G18" s="33"/>
    </row>
    <row r="19" spans="1:7" ht="12.75" customHeight="1" x14ac:dyDescent="0.2">
      <c r="A19" s="64" t="s">
        <v>79</v>
      </c>
      <c r="B19" s="64"/>
      <c r="C19" s="33"/>
      <c r="D19" s="33"/>
      <c r="E19" s="33"/>
      <c r="F19" s="33"/>
      <c r="G19" s="33"/>
    </row>
    <row r="20" spans="1:7" x14ac:dyDescent="0.2">
      <c r="A20" s="65" t="s">
        <v>52</v>
      </c>
      <c r="B20" s="65"/>
    </row>
    <row r="21" spans="1:7" x14ac:dyDescent="0.2">
      <c r="A21" s="65" t="s">
        <v>62</v>
      </c>
      <c r="B21" s="65"/>
    </row>
    <row r="23" spans="1:7" x14ac:dyDescent="0.2">
      <c r="A23" s="57" t="s">
        <v>53</v>
      </c>
      <c r="B23" s="57"/>
    </row>
    <row r="24" spans="1:7" x14ac:dyDescent="0.2">
      <c r="A24" s="57" t="s">
        <v>54</v>
      </c>
      <c r="B24" s="57"/>
    </row>
  </sheetData>
  <mergeCells count="18">
    <mergeCell ref="A18:B18"/>
    <mergeCell ref="A20:B20"/>
    <mergeCell ref="A21:B21"/>
    <mergeCell ref="A23:B23"/>
    <mergeCell ref="A24:B24"/>
    <mergeCell ref="A19:B19"/>
    <mergeCell ref="A17:B17"/>
    <mergeCell ref="A1:B1"/>
    <mergeCell ref="A2:B2"/>
    <mergeCell ref="A3:B3"/>
    <mergeCell ref="A4:B4"/>
    <mergeCell ref="A6:B6"/>
    <mergeCell ref="A7:B7"/>
    <mergeCell ref="A9:B9"/>
    <mergeCell ref="A10:B10"/>
    <mergeCell ref="A11:B11"/>
    <mergeCell ref="A13:B13"/>
    <mergeCell ref="A16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selection activeCell="I40" sqref="I40"/>
    </sheetView>
  </sheetViews>
  <sheetFormatPr defaultColWidth="9.140625" defaultRowHeight="12" x14ac:dyDescent="0.2"/>
  <cols>
    <col min="1" max="1" width="4.42578125" style="5" customWidth="1"/>
    <col min="2" max="2" width="52" style="5" customWidth="1"/>
    <col min="3" max="3" width="23.28515625" style="5" customWidth="1"/>
    <col min="4" max="4" width="16.42578125" style="5" customWidth="1"/>
    <col min="5" max="5" width="21" style="5" customWidth="1"/>
    <col min="6" max="6" width="17.42578125" style="5" customWidth="1"/>
    <col min="7" max="7" width="25.140625" style="5" customWidth="1"/>
    <col min="8" max="8" width="21.7109375" style="5" customWidth="1"/>
    <col min="9" max="9" width="34.7109375" style="5" customWidth="1"/>
    <col min="10" max="16384" width="9.140625" style="5"/>
  </cols>
  <sheetData>
    <row r="1" spans="1:7" ht="36" x14ac:dyDescent="0.2">
      <c r="A1" s="1"/>
      <c r="B1" s="2"/>
      <c r="C1" s="1"/>
      <c r="D1" s="3"/>
      <c r="E1" s="1"/>
      <c r="F1" s="3"/>
      <c r="G1" s="4" t="s">
        <v>55</v>
      </c>
    </row>
    <row r="2" spans="1:7" x14ac:dyDescent="0.2">
      <c r="A2" s="1"/>
      <c r="B2" s="2"/>
      <c r="C2" s="1"/>
      <c r="D2" s="3"/>
      <c r="E2" s="1"/>
      <c r="F2" s="3"/>
      <c r="G2" s="4"/>
    </row>
    <row r="3" spans="1:7" ht="34.5" customHeight="1" x14ac:dyDescent="0.2">
      <c r="A3" s="67" t="s">
        <v>56</v>
      </c>
      <c r="B3" s="67"/>
      <c r="C3" s="67"/>
      <c r="D3" s="67"/>
      <c r="E3" s="67"/>
      <c r="F3" s="67"/>
      <c r="G3" s="67"/>
    </row>
    <row r="4" spans="1:7" x14ac:dyDescent="0.2">
      <c r="A4" s="19"/>
      <c r="B4" s="19"/>
      <c r="C4" s="19"/>
      <c r="D4" s="19"/>
      <c r="E4" s="19"/>
      <c r="F4" s="19"/>
      <c r="G4" s="19"/>
    </row>
    <row r="5" spans="1:7" ht="12.75" customHeight="1" x14ac:dyDescent="0.2">
      <c r="A5" s="19"/>
      <c r="B5" s="68" t="s">
        <v>86</v>
      </c>
      <c r="C5" s="68"/>
      <c r="D5" s="68"/>
      <c r="E5" s="68"/>
      <c r="F5" s="68"/>
      <c r="G5" s="68"/>
    </row>
    <row r="6" spans="1:7" x14ac:dyDescent="0.2">
      <c r="A6" s="19"/>
      <c r="B6" s="69" t="s">
        <v>87</v>
      </c>
      <c r="C6" s="69"/>
      <c r="D6" s="69"/>
      <c r="E6" s="69"/>
      <c r="F6" s="69"/>
      <c r="G6" s="69"/>
    </row>
    <row r="7" spans="1:7" ht="12.75" x14ac:dyDescent="0.2">
      <c r="A7" s="6"/>
      <c r="B7" s="7"/>
      <c r="C7" s="7"/>
      <c r="D7" s="7"/>
      <c r="E7" s="7"/>
      <c r="F7" s="7"/>
      <c r="G7" s="7"/>
    </row>
    <row r="8" spans="1:7" ht="12.75" x14ac:dyDescent="0.2">
      <c r="A8" s="8"/>
      <c r="B8" s="9" t="s">
        <v>11</v>
      </c>
      <c r="C8" s="8"/>
      <c r="D8" s="10"/>
      <c r="E8" s="8"/>
      <c r="F8" s="10"/>
      <c r="G8" s="8"/>
    </row>
    <row r="9" spans="1:7" ht="24" customHeight="1" x14ac:dyDescent="0.2">
      <c r="A9" s="8" t="s">
        <v>0</v>
      </c>
      <c r="B9" s="70" t="s">
        <v>104</v>
      </c>
      <c r="C9" s="70"/>
      <c r="D9" s="70"/>
      <c r="E9" s="70"/>
      <c r="F9" s="70"/>
      <c r="G9" s="70"/>
    </row>
    <row r="10" spans="1:7" ht="12.75" x14ac:dyDescent="0.2">
      <c r="A10" s="8" t="s">
        <v>1</v>
      </c>
      <c r="B10" s="66" t="s">
        <v>10</v>
      </c>
      <c r="C10" s="66"/>
      <c r="D10" s="66"/>
      <c r="E10" s="66"/>
      <c r="F10" s="66"/>
      <c r="G10" s="66"/>
    </row>
    <row r="11" spans="1:7" ht="99.75" customHeight="1" x14ac:dyDescent="0.2">
      <c r="A11" s="11"/>
      <c r="B11" s="11" t="s">
        <v>6</v>
      </c>
      <c r="C11" s="11" t="s">
        <v>85</v>
      </c>
      <c r="D11" s="11" t="s">
        <v>7</v>
      </c>
      <c r="E11" s="11" t="s">
        <v>98</v>
      </c>
      <c r="F11" s="11" t="s">
        <v>9</v>
      </c>
      <c r="G11" s="11" t="s">
        <v>67</v>
      </c>
    </row>
    <row r="12" spans="1:7" x14ac:dyDescent="0.2">
      <c r="A12" s="12"/>
      <c r="B12" s="12" t="s">
        <v>0</v>
      </c>
      <c r="C12" s="12" t="s">
        <v>1</v>
      </c>
      <c r="D12" s="12" t="s">
        <v>2</v>
      </c>
      <c r="E12" s="12" t="s">
        <v>3</v>
      </c>
      <c r="F12" s="12" t="s">
        <v>4</v>
      </c>
      <c r="G12" s="12" t="s">
        <v>5</v>
      </c>
    </row>
    <row r="13" spans="1:7" ht="12.75" customHeight="1" x14ac:dyDescent="0.2">
      <c r="A13" s="20" t="s">
        <v>0</v>
      </c>
      <c r="B13" s="21" t="s">
        <v>15</v>
      </c>
      <c r="C13" s="20">
        <f>SUM(C14:C22)</f>
        <v>41312719.449999996</v>
      </c>
      <c r="D13" s="22"/>
      <c r="E13" s="20">
        <f>SUM(E14:E22)</f>
        <v>47456576.510000005</v>
      </c>
      <c r="F13" s="22"/>
      <c r="G13" s="20">
        <f>SUM(G14:G22)</f>
        <v>47997581.479999997</v>
      </c>
    </row>
    <row r="14" spans="1:7" ht="24" customHeight="1" x14ac:dyDescent="0.2">
      <c r="A14" s="87" t="s">
        <v>41</v>
      </c>
      <c r="B14" s="88" t="s">
        <v>71</v>
      </c>
      <c r="C14" s="87">
        <v>1909648</v>
      </c>
      <c r="D14" s="89">
        <v>1.2128000000000001</v>
      </c>
      <c r="E14" s="87">
        <f t="shared" ref="E14:E22" si="0">ROUND(C14*D14,2)</f>
        <v>2316021.09</v>
      </c>
      <c r="F14" s="89">
        <v>1.0114000000000001</v>
      </c>
      <c r="G14" s="87">
        <f t="shared" ref="G14:G22" si="1">ROUND(E14*F14,2)</f>
        <v>2342423.73</v>
      </c>
    </row>
    <row r="15" spans="1:7" ht="24" customHeight="1" x14ac:dyDescent="0.2">
      <c r="A15" s="13" t="s">
        <v>28</v>
      </c>
      <c r="B15" s="14" t="s">
        <v>73</v>
      </c>
      <c r="C15" s="13">
        <v>1367089.95</v>
      </c>
      <c r="D15" s="23">
        <v>1.0062</v>
      </c>
      <c r="E15" s="13">
        <f t="shared" si="0"/>
        <v>1375565.91</v>
      </c>
      <c r="F15" s="23">
        <v>1.0114000000000001</v>
      </c>
      <c r="G15" s="13">
        <f t="shared" si="1"/>
        <v>1391247.3600000001</v>
      </c>
    </row>
    <row r="16" spans="1:7" s="46" customFormat="1" ht="31.5" customHeight="1" x14ac:dyDescent="0.2">
      <c r="A16" s="37" t="s">
        <v>42</v>
      </c>
      <c r="B16" s="41" t="s">
        <v>72</v>
      </c>
      <c r="C16" s="37">
        <v>14694436</v>
      </c>
      <c r="D16" s="23">
        <v>1.2128000000000001</v>
      </c>
      <c r="E16" s="37">
        <f t="shared" si="0"/>
        <v>17821411.98</v>
      </c>
      <c r="F16" s="56">
        <v>1.0114000000000001</v>
      </c>
      <c r="G16" s="37">
        <f t="shared" si="1"/>
        <v>18024576.079999998</v>
      </c>
    </row>
    <row r="17" spans="1:9" s="46" customFormat="1" ht="31.5" customHeight="1" x14ac:dyDescent="0.2">
      <c r="A17" s="37" t="s">
        <v>43</v>
      </c>
      <c r="B17" s="41" t="s">
        <v>74</v>
      </c>
      <c r="C17" s="37">
        <v>10856988.789999999</v>
      </c>
      <c r="D17" s="23">
        <v>1.0062</v>
      </c>
      <c r="E17" s="37">
        <f t="shared" si="0"/>
        <v>10924302.119999999</v>
      </c>
      <c r="F17" s="56">
        <v>1.0114000000000001</v>
      </c>
      <c r="G17" s="37">
        <f t="shared" si="1"/>
        <v>11048839.16</v>
      </c>
    </row>
    <row r="18" spans="1:9" ht="23.25" customHeight="1" x14ac:dyDescent="0.2">
      <c r="A18" s="87" t="s">
        <v>44</v>
      </c>
      <c r="B18" s="88" t="s">
        <v>100</v>
      </c>
      <c r="C18" s="87">
        <v>7611114</v>
      </c>
      <c r="D18" s="89">
        <v>1.2128000000000001</v>
      </c>
      <c r="E18" s="87">
        <f t="shared" si="0"/>
        <v>9230759.0600000005</v>
      </c>
      <c r="F18" s="89">
        <v>1.0114000000000001</v>
      </c>
      <c r="G18" s="87">
        <f t="shared" si="1"/>
        <v>9335989.7100000009</v>
      </c>
      <c r="I18" s="46"/>
    </row>
    <row r="19" spans="1:9" ht="23.45" customHeight="1" x14ac:dyDescent="0.2">
      <c r="A19" s="13" t="s">
        <v>63</v>
      </c>
      <c r="B19" s="14" t="s">
        <v>88</v>
      </c>
      <c r="C19" s="13">
        <v>886872</v>
      </c>
      <c r="D19" s="23">
        <v>1.2128000000000001</v>
      </c>
      <c r="E19" s="13">
        <f t="shared" si="0"/>
        <v>1075598.3600000001</v>
      </c>
      <c r="F19" s="23">
        <v>1.0114000000000001</v>
      </c>
      <c r="G19" s="13">
        <f t="shared" si="1"/>
        <v>1087860.18</v>
      </c>
      <c r="I19" s="46"/>
    </row>
    <row r="20" spans="1:9" ht="22.9" customHeight="1" x14ac:dyDescent="0.2">
      <c r="A20" s="13" t="s">
        <v>64</v>
      </c>
      <c r="B20" s="14" t="s">
        <v>82</v>
      </c>
      <c r="C20" s="13">
        <v>2043125</v>
      </c>
      <c r="D20" s="23">
        <v>1.2128000000000001</v>
      </c>
      <c r="E20" s="13">
        <f t="shared" si="0"/>
        <v>2477902</v>
      </c>
      <c r="F20" s="23">
        <v>1.0114000000000001</v>
      </c>
      <c r="G20" s="13">
        <f t="shared" si="1"/>
        <v>2506150.08</v>
      </c>
      <c r="I20" s="46"/>
    </row>
    <row r="21" spans="1:9" ht="22.9" customHeight="1" x14ac:dyDescent="0.2">
      <c r="A21" s="13" t="s">
        <v>75</v>
      </c>
      <c r="B21" s="14" t="s">
        <v>83</v>
      </c>
      <c r="C21" s="13">
        <v>1352957</v>
      </c>
      <c r="D21" s="23">
        <v>1.2128000000000001</v>
      </c>
      <c r="E21" s="13">
        <f t="shared" si="0"/>
        <v>1640866.25</v>
      </c>
      <c r="F21" s="23">
        <v>1.0114000000000001</v>
      </c>
      <c r="G21" s="13">
        <f t="shared" si="1"/>
        <v>1659572.13</v>
      </c>
    </row>
    <row r="22" spans="1:9" ht="22.9" customHeight="1" x14ac:dyDescent="0.2">
      <c r="A22" s="13" t="s">
        <v>76</v>
      </c>
      <c r="B22" s="14" t="s">
        <v>84</v>
      </c>
      <c r="C22" s="13">
        <v>590488.71</v>
      </c>
      <c r="D22" s="23">
        <v>1.0062</v>
      </c>
      <c r="E22" s="13">
        <f t="shared" si="0"/>
        <v>594149.74</v>
      </c>
      <c r="F22" s="23">
        <v>1.0114000000000001</v>
      </c>
      <c r="G22" s="13">
        <f t="shared" si="1"/>
        <v>600923.05000000005</v>
      </c>
    </row>
    <row r="23" spans="1:9" x14ac:dyDescent="0.2">
      <c r="A23" s="20" t="s">
        <v>1</v>
      </c>
      <c r="B23" s="21" t="s">
        <v>22</v>
      </c>
      <c r="C23" s="20">
        <v>0</v>
      </c>
      <c r="D23" s="22"/>
      <c r="E23" s="20">
        <v>0</v>
      </c>
      <c r="F23" s="22"/>
      <c r="G23" s="20">
        <v>0</v>
      </c>
    </row>
    <row r="24" spans="1:9" ht="15.75" customHeight="1" x14ac:dyDescent="0.2">
      <c r="A24" s="20" t="s">
        <v>2</v>
      </c>
      <c r="B24" s="21" t="s">
        <v>23</v>
      </c>
      <c r="C24" s="20">
        <f>SUM(C25:C29)</f>
        <v>1399006.35</v>
      </c>
      <c r="D24" s="20"/>
      <c r="E24" s="20">
        <f>SUM(E25:E29)</f>
        <v>1461155.71</v>
      </c>
      <c r="F24" s="20"/>
      <c r="G24" s="20">
        <f>SUM(G25:G29)</f>
        <v>1477812.88</v>
      </c>
    </row>
    <row r="25" spans="1:9" ht="26.25" customHeight="1" x14ac:dyDescent="0.2">
      <c r="A25" s="87" t="s">
        <v>65</v>
      </c>
      <c r="B25" s="88" t="s">
        <v>100</v>
      </c>
      <c r="C25" s="87">
        <v>133459</v>
      </c>
      <c r="D25" s="89">
        <v>1.2128000000000001</v>
      </c>
      <c r="E25" s="87">
        <f>ROUND(C25*D25,2)</f>
        <v>161859.07999999999</v>
      </c>
      <c r="F25" s="89">
        <v>1.0114000000000001</v>
      </c>
      <c r="G25" s="87">
        <f>ROUND(E25*F25,2)</f>
        <v>163704.26999999999</v>
      </c>
    </row>
    <row r="26" spans="1:9" ht="23.45" customHeight="1" x14ac:dyDescent="0.2">
      <c r="A26" s="13" t="s">
        <v>66</v>
      </c>
      <c r="B26" s="14" t="s">
        <v>81</v>
      </c>
      <c r="C26" s="13">
        <v>3119</v>
      </c>
      <c r="D26" s="23">
        <v>1.2128000000000001</v>
      </c>
      <c r="E26" s="13">
        <f>ROUND(C26*D26,2)</f>
        <v>3782.72</v>
      </c>
      <c r="F26" s="23">
        <v>1.0114000000000001</v>
      </c>
      <c r="G26" s="13">
        <f>ROUND(E26*F26,2)</f>
        <v>3825.84</v>
      </c>
    </row>
    <row r="27" spans="1:9" ht="23.45" customHeight="1" x14ac:dyDescent="0.2">
      <c r="A27" s="13" t="s">
        <v>69</v>
      </c>
      <c r="B27" s="14" t="s">
        <v>82</v>
      </c>
      <c r="C27" s="13">
        <v>23085</v>
      </c>
      <c r="D27" s="23">
        <v>1.2128000000000001</v>
      </c>
      <c r="E27" s="13">
        <f>ROUND(C27*D27,2)</f>
        <v>27997.49</v>
      </c>
      <c r="F27" s="23">
        <v>1.0114000000000001</v>
      </c>
      <c r="G27" s="13">
        <f>ROUND(E27*F27,2)</f>
        <v>28316.66</v>
      </c>
    </row>
    <row r="28" spans="1:9" ht="25.15" customHeight="1" x14ac:dyDescent="0.2">
      <c r="A28" s="13" t="s">
        <v>70</v>
      </c>
      <c r="B28" s="14" t="s">
        <v>83</v>
      </c>
      <c r="C28" s="37">
        <v>99173</v>
      </c>
      <c r="D28" s="23">
        <v>1.2128000000000001</v>
      </c>
      <c r="E28" s="13">
        <f>ROUND(C28*D28,2)</f>
        <v>120277.01</v>
      </c>
      <c r="F28" s="23">
        <v>1.0114000000000001</v>
      </c>
      <c r="G28" s="13">
        <f t="shared" ref="G28:G29" si="2">ROUND(E28*F28,2)</f>
        <v>121648.17</v>
      </c>
    </row>
    <row r="29" spans="1:9" ht="25.15" customHeight="1" x14ac:dyDescent="0.2">
      <c r="A29" s="5" t="s">
        <v>101</v>
      </c>
      <c r="B29" s="14" t="s">
        <v>84</v>
      </c>
      <c r="C29" s="37">
        <v>1140170.3500000001</v>
      </c>
      <c r="D29" s="23">
        <v>1.0062</v>
      </c>
      <c r="E29" s="13">
        <f t="shared" ref="E29" si="3">ROUND(C29*D29,2)</f>
        <v>1147239.4099999999</v>
      </c>
      <c r="F29" s="23">
        <v>1.0114000000000001</v>
      </c>
      <c r="G29" s="13">
        <f t="shared" si="2"/>
        <v>1160317.94</v>
      </c>
    </row>
    <row r="30" spans="1:9" ht="24.75" customHeight="1" x14ac:dyDescent="0.2">
      <c r="A30" s="20" t="s">
        <v>3</v>
      </c>
      <c r="B30" s="21" t="s">
        <v>16</v>
      </c>
      <c r="C30" s="20">
        <v>0</v>
      </c>
      <c r="D30" s="22"/>
      <c r="E30" s="20">
        <v>0</v>
      </c>
      <c r="F30" s="22"/>
      <c r="G30" s="20">
        <v>0</v>
      </c>
      <c r="I30" s="17"/>
    </row>
    <row r="31" spans="1:9" ht="12.75" customHeight="1" x14ac:dyDescent="0.2">
      <c r="A31" s="20" t="s">
        <v>4</v>
      </c>
      <c r="B31" s="21" t="s">
        <v>17</v>
      </c>
      <c r="C31" s="20">
        <v>0</v>
      </c>
      <c r="D31" s="20"/>
      <c r="E31" s="20">
        <v>0</v>
      </c>
      <c r="F31" s="22"/>
      <c r="G31" s="20">
        <v>0</v>
      </c>
    </row>
    <row r="32" spans="1:9" ht="12.75" customHeight="1" x14ac:dyDescent="0.2">
      <c r="A32" s="20" t="s">
        <v>5</v>
      </c>
      <c r="B32" s="21" t="s">
        <v>24</v>
      </c>
      <c r="C32" s="20">
        <v>0</v>
      </c>
      <c r="D32" s="20"/>
      <c r="E32" s="20">
        <v>0</v>
      </c>
      <c r="F32" s="20"/>
      <c r="G32" s="20">
        <v>0</v>
      </c>
    </row>
    <row r="33" spans="1:9" ht="12.75" customHeight="1" x14ac:dyDescent="0.2">
      <c r="A33" s="20" t="s">
        <v>19</v>
      </c>
      <c r="B33" s="21" t="s">
        <v>25</v>
      </c>
      <c r="C33" s="20">
        <f>C34</f>
        <v>615979.5</v>
      </c>
      <c r="D33" s="20"/>
      <c r="E33" s="20">
        <f t="shared" ref="E33:G33" si="4">E34</f>
        <v>619798.56999999995</v>
      </c>
      <c r="F33" s="20"/>
      <c r="G33" s="20">
        <f t="shared" si="4"/>
        <v>626864.27</v>
      </c>
    </row>
    <row r="34" spans="1:9" ht="37.5" customHeight="1" x14ac:dyDescent="0.2">
      <c r="A34" s="37" t="s">
        <v>80</v>
      </c>
      <c r="B34" s="41" t="s">
        <v>90</v>
      </c>
      <c r="C34" s="37">
        <v>615979.5</v>
      </c>
      <c r="D34" s="23">
        <v>1.0062</v>
      </c>
      <c r="E34" s="13">
        <f>ROUND(C34*D34,2)</f>
        <v>619798.56999999995</v>
      </c>
      <c r="F34" s="23">
        <v>1.0114000000000001</v>
      </c>
      <c r="G34" s="13">
        <f>ROUND(E34*F34,2)</f>
        <v>626864.27</v>
      </c>
    </row>
    <row r="35" spans="1:9" ht="12.75" customHeight="1" x14ac:dyDescent="0.2">
      <c r="A35" s="20" t="s">
        <v>26</v>
      </c>
      <c r="B35" s="21" t="s">
        <v>18</v>
      </c>
      <c r="C35" s="20">
        <f>ROUND((C13+C23+C24+C30+C32+C33)*2%,2)</f>
        <v>866554.11</v>
      </c>
      <c r="D35" s="20"/>
      <c r="E35" s="20">
        <f>ROUND((E13+E23+E24+E30+E32+E33)*2%,2)</f>
        <v>990750.62</v>
      </c>
      <c r="F35" s="20"/>
      <c r="G35" s="20">
        <f>ROUND((G13+G23+G24+G30+G32+G33)*2%,2)</f>
        <v>1002045.17</v>
      </c>
      <c r="H35" s="25"/>
    </row>
    <row r="36" spans="1:9" ht="13.5" customHeight="1" x14ac:dyDescent="0.2">
      <c r="A36" s="13"/>
      <c r="B36" s="14" t="s">
        <v>20</v>
      </c>
      <c r="C36" s="13">
        <f>C13+C23+C24+C30+C31+C32+C35+C33</f>
        <v>44194259.409999996</v>
      </c>
      <c r="D36" s="13"/>
      <c r="E36" s="13">
        <f>E13+E23+E24+E30+E31+E32+E35+E33</f>
        <v>50528281.410000004</v>
      </c>
      <c r="F36" s="13"/>
      <c r="G36" s="13">
        <f>G13+G23+G24+G30+G31+G32+G35+G33</f>
        <v>51104303.800000004</v>
      </c>
      <c r="H36" s="28"/>
    </row>
    <row r="37" spans="1:9" ht="26.25" customHeight="1" x14ac:dyDescent="0.2">
      <c r="A37" s="13"/>
      <c r="B37" s="14" t="s">
        <v>102</v>
      </c>
      <c r="C37" s="13"/>
      <c r="D37" s="13"/>
      <c r="E37" s="13"/>
      <c r="F37" s="13"/>
      <c r="G37" s="15">
        <v>0.9931977971</v>
      </c>
      <c r="H37" s="28"/>
    </row>
    <row r="38" spans="1:9" ht="36" customHeight="1" x14ac:dyDescent="0.2">
      <c r="A38" s="13"/>
      <c r="B38" s="14" t="s">
        <v>103</v>
      </c>
      <c r="C38" s="13"/>
      <c r="D38" s="13"/>
      <c r="E38" s="13"/>
      <c r="F38" s="13"/>
      <c r="G38" s="13">
        <f>ROUND(((G36)*G37),2)</f>
        <v>50756681.960000001</v>
      </c>
      <c r="H38" s="28"/>
    </row>
    <row r="39" spans="1:9" x14ac:dyDescent="0.2">
      <c r="A39" s="13"/>
      <c r="B39" s="14" t="s">
        <v>60</v>
      </c>
      <c r="C39" s="13"/>
      <c r="D39" s="15"/>
      <c r="E39" s="13"/>
      <c r="F39" s="15"/>
      <c r="G39" s="13">
        <f>ROUND(G38*22%,2)</f>
        <v>11166470.029999999</v>
      </c>
    </row>
    <row r="40" spans="1:9" x14ac:dyDescent="0.2">
      <c r="A40" s="13"/>
      <c r="B40" s="14" t="s">
        <v>8</v>
      </c>
      <c r="C40" s="13"/>
      <c r="D40" s="15"/>
      <c r="E40" s="13"/>
      <c r="F40" s="15"/>
      <c r="G40" s="13">
        <f>G38+G39</f>
        <v>61923151.990000002</v>
      </c>
      <c r="H40" s="17"/>
      <c r="I40" s="90"/>
    </row>
    <row r="42" spans="1:9" ht="12.75" x14ac:dyDescent="0.2">
      <c r="B42" s="64" t="s">
        <v>96</v>
      </c>
      <c r="C42" s="64"/>
      <c r="D42" s="64"/>
      <c r="E42" s="64"/>
      <c r="F42" s="64"/>
      <c r="G42" s="64"/>
    </row>
    <row r="43" spans="1:9" ht="12.75" x14ac:dyDescent="0.2">
      <c r="B43" s="64" t="s">
        <v>94</v>
      </c>
      <c r="C43" s="64"/>
      <c r="D43" s="64"/>
      <c r="E43" s="64"/>
      <c r="F43" s="64"/>
      <c r="G43" s="26"/>
    </row>
    <row r="44" spans="1:9" ht="12.75" x14ac:dyDescent="0.2">
      <c r="B44" s="64" t="s">
        <v>95</v>
      </c>
      <c r="C44" s="71"/>
      <c r="D44" s="71"/>
      <c r="E44" s="71"/>
      <c r="F44" s="71"/>
      <c r="G44" s="71"/>
    </row>
    <row r="45" spans="1:9" ht="16.899999999999999" customHeight="1" x14ac:dyDescent="0.2">
      <c r="B45" s="72" t="s">
        <v>97</v>
      </c>
      <c r="C45" s="73"/>
      <c r="D45" s="74"/>
      <c r="E45" s="73"/>
      <c r="F45" s="74"/>
      <c r="G45" s="73"/>
    </row>
    <row r="46" spans="1:9" x14ac:dyDescent="0.2">
      <c r="B46" s="75" t="s">
        <v>93</v>
      </c>
      <c r="C46" s="75"/>
      <c r="D46" s="75"/>
      <c r="E46" s="75"/>
      <c r="F46" s="75"/>
      <c r="G46" s="75"/>
    </row>
    <row r="47" spans="1:9" x14ac:dyDescent="0.2">
      <c r="B47" s="16"/>
      <c r="C47" s="16"/>
      <c r="D47" s="16"/>
    </row>
    <row r="48" spans="1:9" x14ac:dyDescent="0.2">
      <c r="B48" s="75"/>
      <c r="C48" s="75"/>
      <c r="D48" s="75"/>
      <c r="E48" s="75"/>
      <c r="F48" s="75"/>
      <c r="G48" s="75"/>
    </row>
    <row r="49" spans="2:7" x14ac:dyDescent="0.2">
      <c r="B49" s="16"/>
    </row>
    <row r="50" spans="2:7" x14ac:dyDescent="0.2">
      <c r="B50" s="16"/>
      <c r="C50" s="16"/>
      <c r="D50" s="16"/>
    </row>
    <row r="51" spans="2:7" x14ac:dyDescent="0.2">
      <c r="B51" s="16"/>
      <c r="C51" s="16"/>
      <c r="D51" s="16"/>
    </row>
    <row r="52" spans="2:7" x14ac:dyDescent="0.2">
      <c r="B52" s="16"/>
      <c r="C52" s="16"/>
      <c r="D52" s="16"/>
    </row>
    <row r="53" spans="2:7" x14ac:dyDescent="0.2">
      <c r="B53" s="16"/>
      <c r="C53" s="16"/>
      <c r="D53" s="16"/>
    </row>
    <row r="54" spans="2:7" x14ac:dyDescent="0.2">
      <c r="B54" s="16"/>
      <c r="C54" s="16"/>
      <c r="D54" s="16"/>
    </row>
    <row r="55" spans="2:7" x14ac:dyDescent="0.2">
      <c r="C55" s="17"/>
    </row>
    <row r="57" spans="2:7" x14ac:dyDescent="0.2">
      <c r="C57" s="17"/>
    </row>
    <row r="58" spans="2:7" x14ac:dyDescent="0.2">
      <c r="C58" s="17"/>
      <c r="D58" s="17"/>
      <c r="F58" s="17"/>
      <c r="G58" s="17"/>
    </row>
    <row r="59" spans="2:7" x14ac:dyDescent="0.2">
      <c r="C59" s="17"/>
      <c r="G59" s="25"/>
    </row>
  </sheetData>
  <mergeCells count="11">
    <mergeCell ref="B42:G42"/>
    <mergeCell ref="B43:F43"/>
    <mergeCell ref="B44:G44"/>
    <mergeCell ref="B45:G45"/>
    <mergeCell ref="B48:G48"/>
    <mergeCell ref="B46:G46"/>
    <mergeCell ref="B10:G10"/>
    <mergeCell ref="A3:G3"/>
    <mergeCell ref="B5:G5"/>
    <mergeCell ref="B6:G6"/>
    <mergeCell ref="B9:G9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opLeftCell="A49" workbookViewId="0">
      <selection activeCell="K64" sqref="K64"/>
    </sheetView>
  </sheetViews>
  <sheetFormatPr defaultRowHeight="12.75" x14ac:dyDescent="0.2"/>
  <cols>
    <col min="1" max="1" width="10.42578125" customWidth="1"/>
    <col min="2" max="2" width="7.42578125" customWidth="1"/>
    <col min="7" max="7" width="11.28515625" customWidth="1"/>
    <col min="9" max="9" width="8.42578125" customWidth="1"/>
    <col min="10" max="10" width="9.140625" hidden="1" customWidth="1"/>
  </cols>
  <sheetData>
    <row r="1" spans="1:11" ht="15" x14ac:dyDescent="0.25">
      <c r="A1" s="82" t="s">
        <v>27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75.75" customHeight="1" x14ac:dyDescent="0.2">
      <c r="A2" s="83" t="s">
        <v>12</v>
      </c>
      <c r="B2" s="83"/>
      <c r="C2" s="84" t="s">
        <v>32</v>
      </c>
      <c r="D2" s="84"/>
      <c r="E2" s="84"/>
      <c r="F2" s="84"/>
      <c r="G2" s="84"/>
      <c r="H2" s="84"/>
      <c r="I2" s="84"/>
      <c r="J2" s="84"/>
      <c r="K2" s="84"/>
    </row>
    <row r="3" spans="1:11" ht="15.75" customHeight="1" x14ac:dyDescent="0.2">
      <c r="A3" s="85" t="s">
        <v>77</v>
      </c>
      <c r="B3" s="85"/>
      <c r="C3" s="85"/>
      <c r="D3" s="53"/>
      <c r="E3" s="86" t="s">
        <v>91</v>
      </c>
      <c r="F3" s="86"/>
      <c r="G3" s="86"/>
      <c r="H3" s="52"/>
      <c r="I3" s="52"/>
      <c r="J3" s="52"/>
      <c r="K3" s="52"/>
    </row>
    <row r="4" spans="1:11" ht="15" customHeight="1" x14ac:dyDescent="0.2">
      <c r="A4" s="48" t="s">
        <v>35</v>
      </c>
      <c r="B4" s="48">
        <v>2022</v>
      </c>
      <c r="C4" s="44">
        <v>1</v>
      </c>
      <c r="D4" s="47"/>
      <c r="E4" s="54" t="s">
        <v>33</v>
      </c>
      <c r="F4" s="54">
        <v>2026</v>
      </c>
      <c r="G4" s="45">
        <v>0.98740000000000006</v>
      </c>
      <c r="H4" s="47"/>
      <c r="I4" s="47"/>
      <c r="J4" s="47"/>
      <c r="K4" s="47"/>
    </row>
    <row r="5" spans="1:11" ht="13.5" customHeight="1" x14ac:dyDescent="0.2">
      <c r="A5" s="48" t="s">
        <v>36</v>
      </c>
      <c r="B5" s="48">
        <v>2022</v>
      </c>
      <c r="C5" s="44">
        <v>1.0037</v>
      </c>
      <c r="D5" s="47"/>
      <c r="E5" s="54" t="s">
        <v>34</v>
      </c>
      <c r="F5" s="54">
        <v>2026</v>
      </c>
      <c r="G5" s="45">
        <v>1.0013000000000001</v>
      </c>
      <c r="H5" s="47"/>
      <c r="I5" s="47"/>
      <c r="J5" s="47"/>
      <c r="K5" s="47"/>
    </row>
    <row r="6" spans="1:11" ht="14.25" customHeight="1" x14ac:dyDescent="0.2">
      <c r="A6" s="48" t="s">
        <v>37</v>
      </c>
      <c r="B6" s="48">
        <v>2022</v>
      </c>
      <c r="C6" s="44">
        <v>1.0017</v>
      </c>
      <c r="D6" s="47"/>
      <c r="E6" s="54" t="s">
        <v>57</v>
      </c>
      <c r="F6" s="54">
        <v>2026</v>
      </c>
      <c r="G6" s="45">
        <v>1.0087999999999999</v>
      </c>
      <c r="H6" s="47"/>
      <c r="I6" s="47"/>
      <c r="J6" s="47"/>
      <c r="K6" s="47"/>
    </row>
    <row r="7" spans="1:11" ht="15" customHeight="1" x14ac:dyDescent="0.2">
      <c r="A7" s="48" t="s">
        <v>38</v>
      </c>
      <c r="B7" s="48">
        <v>2022</v>
      </c>
      <c r="C7" s="44">
        <v>1.0032000000000001</v>
      </c>
      <c r="D7" s="47"/>
      <c r="E7" s="54" t="s">
        <v>35</v>
      </c>
      <c r="F7" s="54">
        <v>2026</v>
      </c>
      <c r="G7" s="45">
        <v>1.0087999999999999</v>
      </c>
      <c r="H7" s="47"/>
      <c r="I7" s="47"/>
      <c r="J7" s="47"/>
      <c r="K7" s="47"/>
    </row>
    <row r="8" spans="1:11" ht="15.75" customHeight="1" x14ac:dyDescent="0.2">
      <c r="A8" s="48" t="s">
        <v>39</v>
      </c>
      <c r="B8" s="48">
        <v>2022</v>
      </c>
      <c r="C8" s="44">
        <v>1.0074000000000001</v>
      </c>
      <c r="D8" s="47"/>
      <c r="E8" s="86" t="s">
        <v>92</v>
      </c>
      <c r="F8" s="86"/>
      <c r="G8" s="45">
        <f>ROUND(G4*G5*G6*G7,4)</f>
        <v>1.0062</v>
      </c>
      <c r="H8" s="47"/>
      <c r="I8" s="47"/>
      <c r="J8" s="47"/>
      <c r="K8" s="47"/>
    </row>
    <row r="9" spans="1:11" ht="17.25" customHeight="1" x14ac:dyDescent="0.2">
      <c r="A9" s="48" t="s">
        <v>40</v>
      </c>
      <c r="B9" s="48">
        <v>2022</v>
      </c>
      <c r="C9" s="44">
        <v>1.0013000000000001</v>
      </c>
      <c r="D9" s="47"/>
      <c r="E9" s="47"/>
      <c r="F9" s="47"/>
      <c r="G9" s="47"/>
      <c r="H9" s="47"/>
      <c r="I9" s="47"/>
      <c r="J9" s="47"/>
      <c r="K9" s="47"/>
    </row>
    <row r="10" spans="1:11" ht="12.75" customHeight="1" x14ac:dyDescent="0.2">
      <c r="A10" s="48" t="s">
        <v>29</v>
      </c>
      <c r="B10" s="49">
        <v>2023</v>
      </c>
      <c r="C10" s="44">
        <v>1.0031000000000001</v>
      </c>
      <c r="D10" s="47"/>
      <c r="E10" s="47"/>
      <c r="F10" s="47"/>
      <c r="G10" s="47"/>
      <c r="H10" s="47"/>
      <c r="I10" s="47"/>
      <c r="J10" s="47"/>
      <c r="K10" s="47"/>
    </row>
    <row r="11" spans="1:11" ht="14.25" customHeight="1" x14ac:dyDescent="0.2">
      <c r="A11" s="48" t="s">
        <v>30</v>
      </c>
      <c r="B11" s="49">
        <v>2023</v>
      </c>
      <c r="C11" s="44">
        <v>1.0089999999999999</v>
      </c>
      <c r="D11" s="47"/>
      <c r="E11" s="47"/>
      <c r="F11" s="47"/>
      <c r="G11" s="47"/>
      <c r="H11" s="47"/>
      <c r="I11" s="47"/>
      <c r="J11" s="47"/>
      <c r="K11" s="47"/>
    </row>
    <row r="12" spans="1:11" ht="14.25" customHeight="1" x14ac:dyDescent="0.2">
      <c r="A12" s="48" t="s">
        <v>31</v>
      </c>
      <c r="B12" s="49">
        <v>2023</v>
      </c>
      <c r="C12" s="44">
        <v>0.99770000000000003</v>
      </c>
      <c r="D12" s="47"/>
      <c r="E12" s="47"/>
      <c r="F12" s="47"/>
      <c r="G12" s="47"/>
      <c r="H12" s="47"/>
      <c r="I12" s="47"/>
      <c r="J12" s="47"/>
      <c r="K12" s="47"/>
    </row>
    <row r="13" spans="1:11" ht="15" customHeight="1" x14ac:dyDescent="0.2">
      <c r="A13" s="48" t="s">
        <v>33</v>
      </c>
      <c r="B13" s="49">
        <v>2023</v>
      </c>
      <c r="C13" s="44">
        <v>1.008</v>
      </c>
      <c r="D13" s="47"/>
      <c r="E13" s="47"/>
      <c r="F13" s="47"/>
      <c r="G13" s="47"/>
      <c r="H13" s="47"/>
      <c r="I13" s="47"/>
      <c r="J13" s="47"/>
      <c r="K13" s="47"/>
    </row>
    <row r="14" spans="1:11" ht="15" customHeight="1" x14ac:dyDescent="0.2">
      <c r="A14" s="48" t="s">
        <v>34</v>
      </c>
      <c r="B14" s="49">
        <v>2023</v>
      </c>
      <c r="C14" s="44">
        <v>1.0013000000000001</v>
      </c>
      <c r="D14" s="47"/>
      <c r="E14" s="47"/>
      <c r="F14" s="47"/>
      <c r="G14" s="47"/>
      <c r="H14" s="47"/>
      <c r="I14" s="47"/>
      <c r="J14" s="47"/>
      <c r="K14" s="47"/>
    </row>
    <row r="15" spans="1:11" ht="14.25" customHeight="1" x14ac:dyDescent="0.2">
      <c r="A15" s="48" t="s">
        <v>57</v>
      </c>
      <c r="B15" s="49">
        <v>2023</v>
      </c>
      <c r="C15" s="44">
        <v>1.0112000000000001</v>
      </c>
      <c r="D15" s="47"/>
      <c r="E15" s="47"/>
      <c r="F15" s="47"/>
      <c r="G15" s="47"/>
      <c r="H15" s="47"/>
      <c r="I15" s="47"/>
      <c r="J15" s="47"/>
      <c r="K15" s="47"/>
    </row>
    <row r="16" spans="1:11" ht="12.75" customHeight="1" x14ac:dyDescent="0.2">
      <c r="A16" s="42" t="s">
        <v>35</v>
      </c>
      <c r="B16" s="42">
        <v>2023</v>
      </c>
      <c r="C16" s="44">
        <v>1.0103</v>
      </c>
      <c r="D16" s="43"/>
      <c r="E16" s="43"/>
      <c r="F16" s="43"/>
      <c r="G16" s="43"/>
      <c r="H16" s="43"/>
      <c r="I16" s="43"/>
      <c r="J16" s="43"/>
      <c r="K16" s="43"/>
    </row>
    <row r="17" spans="1:11" ht="13.5" customHeight="1" x14ac:dyDescent="0.2">
      <c r="A17" s="42" t="s">
        <v>36</v>
      </c>
      <c r="B17" s="42">
        <v>2023</v>
      </c>
      <c r="C17" s="44">
        <v>1.0073000000000001</v>
      </c>
      <c r="D17" s="43"/>
      <c r="E17" s="43"/>
      <c r="F17" s="43"/>
      <c r="G17" s="43"/>
      <c r="H17" s="43"/>
      <c r="I17" s="43"/>
      <c r="J17" s="43"/>
      <c r="K17" s="43"/>
    </row>
    <row r="18" spans="1:11" ht="13.5" customHeight="1" x14ac:dyDescent="0.2">
      <c r="A18" s="42" t="s">
        <v>37</v>
      </c>
      <c r="B18" s="42">
        <v>2023</v>
      </c>
      <c r="C18" s="44">
        <v>1.0047999999999999</v>
      </c>
      <c r="D18" s="43"/>
      <c r="E18" s="43"/>
      <c r="F18" s="43"/>
      <c r="G18" s="43"/>
      <c r="H18" s="43"/>
      <c r="I18" s="43"/>
      <c r="J18" s="43"/>
      <c r="K18" s="43"/>
    </row>
    <row r="19" spans="1:11" ht="12.75" customHeight="1" x14ac:dyDescent="0.2">
      <c r="A19" s="42" t="s">
        <v>38</v>
      </c>
      <c r="B19" s="42">
        <v>2023</v>
      </c>
      <c r="C19" s="44">
        <v>1.0057</v>
      </c>
      <c r="D19" s="43"/>
      <c r="E19" s="43"/>
      <c r="F19" s="43"/>
      <c r="G19" s="43"/>
      <c r="H19" s="43"/>
      <c r="I19" s="43"/>
      <c r="J19" s="43"/>
      <c r="K19" s="43"/>
    </row>
    <row r="20" spans="1:11" ht="13.5" customHeight="1" x14ac:dyDescent="0.2">
      <c r="A20" s="42" t="s">
        <v>39</v>
      </c>
      <c r="B20" s="42">
        <v>2023</v>
      </c>
      <c r="C20" s="44">
        <v>0.99970000000000003</v>
      </c>
      <c r="D20" s="43"/>
      <c r="E20" s="43"/>
      <c r="F20" s="43"/>
      <c r="G20" s="43"/>
      <c r="H20" s="43"/>
      <c r="I20" s="43"/>
      <c r="J20" s="43"/>
      <c r="K20" s="43"/>
    </row>
    <row r="21" spans="1:11" ht="14.25" customHeight="1" x14ac:dyDescent="0.2">
      <c r="A21" s="42" t="s">
        <v>40</v>
      </c>
      <c r="B21" s="42">
        <v>2023</v>
      </c>
      <c r="C21" s="44">
        <v>1.0061</v>
      </c>
      <c r="D21" s="43"/>
      <c r="E21" s="43"/>
      <c r="F21" s="43"/>
      <c r="G21" s="43"/>
      <c r="H21" s="43"/>
      <c r="I21" s="43"/>
      <c r="J21" s="43"/>
      <c r="K21" s="43"/>
    </row>
    <row r="22" spans="1:11" ht="14.25" customHeight="1" x14ac:dyDescent="0.2">
      <c r="A22" s="42" t="s">
        <v>29</v>
      </c>
      <c r="B22" s="42">
        <v>2024</v>
      </c>
      <c r="C22" s="44">
        <v>1.0016</v>
      </c>
      <c r="D22" s="43"/>
      <c r="E22" s="43"/>
      <c r="F22" s="43"/>
      <c r="G22" s="43"/>
      <c r="H22" s="43"/>
      <c r="I22" s="43"/>
      <c r="J22" s="43"/>
      <c r="K22" s="43"/>
    </row>
    <row r="23" spans="1:11" ht="12.75" customHeight="1" x14ac:dyDescent="0.2">
      <c r="A23" s="42" t="s">
        <v>30</v>
      </c>
      <c r="B23" s="42">
        <v>2024</v>
      </c>
      <c r="C23" s="44">
        <v>1.0059</v>
      </c>
      <c r="D23" s="43"/>
      <c r="E23" s="43"/>
      <c r="F23" s="43"/>
      <c r="G23" s="43"/>
      <c r="H23" s="43"/>
      <c r="I23" s="43"/>
      <c r="J23" s="43"/>
      <c r="K23" s="43"/>
    </row>
    <row r="24" spans="1:11" ht="14.25" customHeight="1" x14ac:dyDescent="0.2">
      <c r="A24" s="42" t="s">
        <v>31</v>
      </c>
      <c r="B24" s="42">
        <v>2024</v>
      </c>
      <c r="C24" s="44">
        <v>1.0014000000000001</v>
      </c>
      <c r="D24" s="43"/>
      <c r="E24" s="43"/>
      <c r="F24" s="43"/>
      <c r="G24" s="43"/>
      <c r="H24" s="43"/>
      <c r="I24" s="43"/>
      <c r="J24" s="43"/>
      <c r="K24" s="43"/>
    </row>
    <row r="25" spans="1:11" ht="13.5" customHeight="1" x14ac:dyDescent="0.2">
      <c r="A25" s="42" t="s">
        <v>33</v>
      </c>
      <c r="B25" s="42">
        <v>2024</v>
      </c>
      <c r="C25" s="44">
        <v>1.0042</v>
      </c>
      <c r="D25" s="43"/>
      <c r="E25" s="43"/>
      <c r="F25" s="43"/>
      <c r="G25" s="43"/>
      <c r="H25" s="43"/>
      <c r="I25" s="43"/>
      <c r="J25" s="43"/>
      <c r="K25" s="43"/>
    </row>
    <row r="26" spans="1:11" ht="15" customHeight="1" x14ac:dyDescent="0.2">
      <c r="A26" s="42" t="s">
        <v>34</v>
      </c>
      <c r="B26" s="42">
        <v>2024</v>
      </c>
      <c r="C26" s="44">
        <v>1.0046999999999999</v>
      </c>
      <c r="D26" s="43"/>
      <c r="E26" s="43"/>
      <c r="F26" s="43"/>
      <c r="G26" s="43"/>
      <c r="H26" s="43"/>
      <c r="I26" s="43"/>
      <c r="J26" s="43"/>
      <c r="K26" s="43"/>
    </row>
    <row r="27" spans="1:11" ht="13.5" customHeight="1" x14ac:dyDescent="0.2">
      <c r="A27" s="42" t="s">
        <v>57</v>
      </c>
      <c r="B27" s="42">
        <v>2024</v>
      </c>
      <c r="C27" s="44">
        <v>1.0021</v>
      </c>
      <c r="D27" s="43"/>
      <c r="E27" s="43"/>
      <c r="F27" s="43"/>
      <c r="G27" s="43"/>
      <c r="H27" s="43"/>
      <c r="I27" s="43"/>
      <c r="J27" s="43"/>
      <c r="K27" s="43"/>
    </row>
    <row r="28" spans="1:11" ht="15" x14ac:dyDescent="0.2">
      <c r="A28" s="42" t="s">
        <v>35</v>
      </c>
      <c r="B28" s="29">
        <v>2024</v>
      </c>
      <c r="C28" s="44">
        <v>1.0044999999999999</v>
      </c>
      <c r="D28" s="30"/>
      <c r="E28" s="30"/>
      <c r="F28" s="30"/>
      <c r="G28" s="30"/>
      <c r="H28" s="30"/>
      <c r="I28" s="30"/>
      <c r="J28" s="30"/>
      <c r="K28" s="30"/>
    </row>
    <row r="29" spans="1:11" ht="15" x14ac:dyDescent="0.2">
      <c r="A29" s="42" t="s">
        <v>36</v>
      </c>
      <c r="B29" s="29">
        <v>2024</v>
      </c>
      <c r="C29" s="44">
        <v>1.0032000000000001</v>
      </c>
      <c r="D29" s="30"/>
      <c r="E29" s="30"/>
      <c r="F29" s="30"/>
      <c r="G29" s="30"/>
      <c r="H29" s="30"/>
      <c r="I29" s="30"/>
      <c r="J29" s="30"/>
      <c r="K29" s="30"/>
    </row>
    <row r="30" spans="1:11" ht="15" x14ac:dyDescent="0.2">
      <c r="A30" s="42" t="s">
        <v>37</v>
      </c>
      <c r="B30" s="29">
        <v>2024</v>
      </c>
      <c r="C30" s="44">
        <v>1.0048999999999999</v>
      </c>
      <c r="D30" s="30"/>
      <c r="E30" s="30"/>
      <c r="F30" s="30"/>
      <c r="G30" s="30"/>
      <c r="H30" s="30"/>
      <c r="I30" s="30"/>
      <c r="J30" s="30"/>
      <c r="K30" s="30"/>
    </row>
    <row r="31" spans="1:11" ht="15" x14ac:dyDescent="0.2">
      <c r="A31" s="42" t="s">
        <v>38</v>
      </c>
      <c r="B31" s="29">
        <v>2024</v>
      </c>
      <c r="C31" s="44">
        <v>1.0064</v>
      </c>
      <c r="D31" s="30"/>
      <c r="E31" s="30"/>
      <c r="F31" s="30"/>
      <c r="G31" s="30"/>
      <c r="H31" s="30"/>
      <c r="I31" s="30"/>
      <c r="J31" s="30"/>
      <c r="K31" s="30"/>
    </row>
    <row r="32" spans="1:11" ht="15" x14ac:dyDescent="0.2">
      <c r="A32" s="42" t="s">
        <v>39</v>
      </c>
      <c r="B32" s="29">
        <v>2024</v>
      </c>
      <c r="C32" s="44">
        <v>1.0062</v>
      </c>
      <c r="D32" s="30"/>
      <c r="E32" s="30"/>
      <c r="F32" s="30"/>
      <c r="G32" s="30"/>
      <c r="H32" s="30"/>
      <c r="I32" s="30"/>
      <c r="J32" s="30"/>
      <c r="K32" s="30"/>
    </row>
    <row r="33" spans="1:11" ht="15" x14ac:dyDescent="0.2">
      <c r="A33" s="42" t="s">
        <v>40</v>
      </c>
      <c r="B33" s="29">
        <v>2024</v>
      </c>
      <c r="C33" s="44">
        <v>1.0047999999999999</v>
      </c>
      <c r="D33" s="30"/>
      <c r="E33" s="30"/>
      <c r="F33" s="30"/>
      <c r="G33" s="30"/>
      <c r="H33" s="30"/>
      <c r="I33" s="30"/>
      <c r="J33" s="30"/>
      <c r="K33" s="30"/>
    </row>
    <row r="34" spans="1:11" ht="15" x14ac:dyDescent="0.2">
      <c r="A34" s="29" t="s">
        <v>29</v>
      </c>
      <c r="B34" s="29">
        <v>2025</v>
      </c>
      <c r="C34" s="45">
        <v>1.0036</v>
      </c>
      <c r="D34" s="30"/>
      <c r="E34" s="30"/>
      <c r="F34" s="30"/>
      <c r="G34" s="30"/>
      <c r="H34" s="30"/>
      <c r="I34" s="30"/>
      <c r="J34" s="30"/>
      <c r="K34" s="30"/>
    </row>
    <row r="35" spans="1:11" ht="15" x14ac:dyDescent="0.2">
      <c r="A35" s="29" t="s">
        <v>30</v>
      </c>
      <c r="B35" s="29">
        <v>2025</v>
      </c>
      <c r="C35" s="45">
        <v>0.99080000000000001</v>
      </c>
      <c r="D35" s="30"/>
      <c r="E35" s="30"/>
      <c r="F35" s="30"/>
      <c r="G35" s="30"/>
      <c r="H35" s="30"/>
      <c r="I35" s="30"/>
      <c r="J35" s="30"/>
      <c r="K35" s="30"/>
    </row>
    <row r="36" spans="1:11" ht="15" x14ac:dyDescent="0.2">
      <c r="A36" s="29" t="s">
        <v>31</v>
      </c>
      <c r="B36" s="29">
        <v>2025</v>
      </c>
      <c r="C36" s="45">
        <v>0.99870000000000003</v>
      </c>
      <c r="D36" s="30"/>
      <c r="E36" s="30"/>
      <c r="F36" s="30"/>
      <c r="G36" s="30"/>
      <c r="H36" s="30"/>
      <c r="I36" s="30"/>
      <c r="J36" s="30"/>
      <c r="K36" s="30"/>
    </row>
    <row r="37" spans="1:11" ht="15" x14ac:dyDescent="0.2">
      <c r="A37" s="29" t="s">
        <v>33</v>
      </c>
      <c r="B37" s="29">
        <v>2025</v>
      </c>
      <c r="C37" s="45">
        <v>0.98370000000000002</v>
      </c>
      <c r="D37" s="30"/>
      <c r="E37" s="30"/>
      <c r="F37" s="30"/>
      <c r="G37" s="30"/>
      <c r="H37" s="30"/>
      <c r="I37" s="30"/>
      <c r="J37" s="30"/>
      <c r="K37" s="30"/>
    </row>
    <row r="38" spans="1:11" ht="15" x14ac:dyDescent="0.2">
      <c r="A38" s="29" t="s">
        <v>34</v>
      </c>
      <c r="B38" s="29">
        <v>2025</v>
      </c>
      <c r="C38" s="45">
        <v>1.0101</v>
      </c>
      <c r="D38" s="30"/>
      <c r="E38" s="30"/>
      <c r="F38" s="30"/>
      <c r="G38" s="30"/>
      <c r="H38" s="30"/>
      <c r="I38" s="30"/>
      <c r="J38" s="30"/>
      <c r="K38" s="30"/>
    </row>
    <row r="39" spans="1:11" ht="15" x14ac:dyDescent="0.2">
      <c r="A39" s="29" t="s">
        <v>57</v>
      </c>
      <c r="B39" s="29">
        <v>2025</v>
      </c>
      <c r="C39" s="45">
        <v>1.0225</v>
      </c>
      <c r="D39" s="30"/>
      <c r="E39" s="30"/>
      <c r="F39" s="30"/>
      <c r="G39" s="30"/>
      <c r="H39" s="30"/>
      <c r="I39" s="30"/>
      <c r="J39" s="30"/>
      <c r="K39" s="30"/>
    </row>
    <row r="40" spans="1:11" ht="15" x14ac:dyDescent="0.2">
      <c r="A40" s="29" t="s">
        <v>35</v>
      </c>
      <c r="B40" s="29">
        <v>2025</v>
      </c>
      <c r="C40" s="45">
        <v>1.0018</v>
      </c>
      <c r="D40" s="30"/>
      <c r="E40" s="30"/>
      <c r="F40" s="30"/>
      <c r="G40" s="30"/>
      <c r="H40" s="30"/>
      <c r="I40" s="30"/>
      <c r="J40" s="30"/>
      <c r="K40" s="30"/>
    </row>
    <row r="41" spans="1:11" ht="15" x14ac:dyDescent="0.2">
      <c r="A41" s="29" t="s">
        <v>36</v>
      </c>
      <c r="B41" s="29">
        <v>2025</v>
      </c>
      <c r="C41" s="45">
        <v>0.99809999999999999</v>
      </c>
      <c r="D41" s="30"/>
      <c r="E41" s="30"/>
      <c r="F41" s="30"/>
      <c r="G41" s="30"/>
      <c r="H41" s="30"/>
      <c r="I41" s="30"/>
      <c r="J41" s="30"/>
      <c r="K41" s="30"/>
    </row>
    <row r="42" spans="1:11" ht="13.5" customHeight="1" x14ac:dyDescent="0.2">
      <c r="A42" s="29" t="s">
        <v>37</v>
      </c>
      <c r="B42" s="29">
        <v>2025</v>
      </c>
      <c r="C42" s="45">
        <v>1.0127999999999999</v>
      </c>
      <c r="D42" s="30"/>
      <c r="E42" s="30"/>
      <c r="F42" s="30"/>
      <c r="G42" s="30"/>
      <c r="H42" s="30"/>
      <c r="I42" s="30"/>
      <c r="J42" s="30"/>
      <c r="K42" s="30"/>
    </row>
    <row r="43" spans="1:11" ht="15.75" customHeight="1" x14ac:dyDescent="0.2">
      <c r="A43" s="29" t="s">
        <v>38</v>
      </c>
      <c r="B43" s="29">
        <v>2025</v>
      </c>
      <c r="C43" s="45">
        <v>1.0018</v>
      </c>
      <c r="D43" s="30"/>
      <c r="E43" s="30"/>
      <c r="F43" s="30"/>
      <c r="G43" s="30"/>
      <c r="H43" s="30"/>
      <c r="I43" s="30"/>
      <c r="J43" s="30"/>
      <c r="K43" s="30"/>
    </row>
    <row r="44" spans="1:11" ht="15.75" customHeight="1" x14ac:dyDescent="0.2">
      <c r="A44" s="29" t="s">
        <v>39</v>
      </c>
      <c r="B44" s="29">
        <v>2025</v>
      </c>
      <c r="C44" s="45">
        <v>1.0066999999999999</v>
      </c>
      <c r="D44" s="30"/>
      <c r="E44" s="30"/>
      <c r="F44" s="30"/>
      <c r="G44" s="30"/>
      <c r="H44" s="30"/>
      <c r="I44" s="30"/>
      <c r="J44" s="30"/>
      <c r="K44" s="30"/>
    </row>
    <row r="45" spans="1:11" ht="15.75" customHeight="1" x14ac:dyDescent="0.2">
      <c r="A45" s="29" t="s">
        <v>40</v>
      </c>
      <c r="B45" s="29">
        <v>2025</v>
      </c>
      <c r="C45" s="45">
        <v>1.0009999999999999</v>
      </c>
      <c r="D45" s="27"/>
      <c r="E45" s="30"/>
      <c r="F45" s="30"/>
      <c r="G45" s="30"/>
      <c r="H45" s="30"/>
      <c r="I45" s="30"/>
      <c r="J45" s="30"/>
      <c r="K45" s="30"/>
    </row>
    <row r="46" spans="1:11" ht="15.75" customHeight="1" x14ac:dyDescent="0.2">
      <c r="A46" s="39" t="s">
        <v>29</v>
      </c>
      <c r="B46" s="39">
        <v>2026</v>
      </c>
      <c r="C46" s="45">
        <v>1.0072000000000001</v>
      </c>
      <c r="D46" s="27"/>
      <c r="E46" s="40"/>
      <c r="F46" s="40"/>
      <c r="G46" s="40"/>
      <c r="H46" s="40"/>
      <c r="I46" s="40"/>
      <c r="J46" s="40"/>
      <c r="K46" s="40"/>
    </row>
    <row r="47" spans="1:11" ht="15.75" customHeight="1" x14ac:dyDescent="0.2">
      <c r="A47" s="50" t="s">
        <v>30</v>
      </c>
      <c r="B47" s="50">
        <v>2026</v>
      </c>
      <c r="C47" s="45">
        <v>1.0007999999999999</v>
      </c>
      <c r="D47" s="27"/>
      <c r="E47" s="51"/>
      <c r="F47" s="51"/>
      <c r="G47" s="51"/>
      <c r="H47" s="51"/>
      <c r="I47" s="51"/>
      <c r="J47" s="51"/>
      <c r="K47" s="51"/>
    </row>
    <row r="48" spans="1:11" ht="15.75" customHeight="1" x14ac:dyDescent="0.2">
      <c r="A48" s="54" t="s">
        <v>31</v>
      </c>
      <c r="B48" s="54">
        <v>2026</v>
      </c>
      <c r="C48" s="45">
        <v>1.0169999999999999</v>
      </c>
      <c r="D48" s="27"/>
      <c r="E48" s="55"/>
      <c r="F48" s="55"/>
      <c r="G48" s="55"/>
      <c r="H48" s="55"/>
      <c r="I48" s="55"/>
      <c r="J48" s="55"/>
      <c r="K48" s="55"/>
    </row>
    <row r="49" spans="1:11" ht="15.75" customHeight="1" x14ac:dyDescent="0.2">
      <c r="A49" s="54" t="s">
        <v>33</v>
      </c>
      <c r="B49" s="54">
        <v>2026</v>
      </c>
      <c r="C49" s="45">
        <v>0.98740000000000006</v>
      </c>
      <c r="D49" s="27"/>
      <c r="E49" s="55"/>
      <c r="F49" s="55"/>
      <c r="G49" s="55"/>
      <c r="H49" s="55"/>
      <c r="I49" s="55"/>
      <c r="J49" s="55"/>
      <c r="K49" s="55"/>
    </row>
    <row r="50" spans="1:11" ht="15.75" customHeight="1" x14ac:dyDescent="0.2">
      <c r="A50" s="54" t="s">
        <v>34</v>
      </c>
      <c r="B50" s="54">
        <v>2026</v>
      </c>
      <c r="C50" s="45">
        <v>1.0013000000000001</v>
      </c>
      <c r="D50" s="27"/>
      <c r="E50" s="55"/>
      <c r="F50" s="55"/>
      <c r="G50" s="55"/>
      <c r="H50" s="55"/>
      <c r="I50" s="55"/>
      <c r="J50" s="55"/>
      <c r="K50" s="55"/>
    </row>
    <row r="51" spans="1:11" ht="15.75" customHeight="1" x14ac:dyDescent="0.2">
      <c r="A51" s="54" t="s">
        <v>57</v>
      </c>
      <c r="B51" s="54">
        <v>2026</v>
      </c>
      <c r="C51" s="45">
        <v>1.0087999999999999</v>
      </c>
      <c r="D51" s="27"/>
      <c r="E51" s="55"/>
      <c r="F51" s="55"/>
      <c r="G51" s="55"/>
      <c r="H51" s="55"/>
      <c r="I51" s="55"/>
      <c r="J51" s="55"/>
      <c r="K51" s="55"/>
    </row>
    <row r="52" spans="1:11" ht="15.75" customHeight="1" x14ac:dyDescent="0.2">
      <c r="A52" s="54" t="s">
        <v>35</v>
      </c>
      <c r="B52" s="54">
        <v>2026</v>
      </c>
      <c r="C52" s="45">
        <v>1.0087999999999999</v>
      </c>
      <c r="D52" s="27"/>
      <c r="E52" s="55"/>
      <c r="F52" s="55"/>
      <c r="G52" s="55"/>
      <c r="H52" s="55"/>
      <c r="I52" s="55"/>
      <c r="J52" s="55"/>
      <c r="K52" s="55"/>
    </row>
    <row r="53" spans="1:11" x14ac:dyDescent="0.2">
      <c r="A53" s="80" t="s">
        <v>14</v>
      </c>
      <c r="B53" s="80"/>
      <c r="C53" s="32">
        <f>ROUND(C4*C5*C6*C7*C8*C9*C10*C11*C12*C13*C14*C15*C16*C17*C18*C19*C20*C21*C22*C23*C24*C25*C26*C27*C28*C29*C30*C31*C32*C33*C34*C35*C36*C37*C38*C39*C40*C41*C42*C43*C44*C45*C46*C47*C48*C49*C50*C51*C52,4)</f>
        <v>1.2128000000000001</v>
      </c>
      <c r="D53" s="27"/>
      <c r="E53" s="27"/>
    </row>
    <row r="54" spans="1:11" ht="13.5" customHeight="1" x14ac:dyDescent="0.2"/>
    <row r="55" spans="1:11" ht="15" x14ac:dyDescent="0.25">
      <c r="A55" s="82" t="s">
        <v>13</v>
      </c>
      <c r="B55" s="82"/>
      <c r="C55" s="82"/>
      <c r="D55" s="82"/>
      <c r="E55" s="82"/>
      <c r="F55" s="82"/>
      <c r="G55" s="82"/>
      <c r="H55" s="82"/>
      <c r="I55" s="82"/>
      <c r="J55" s="82"/>
      <c r="K55" s="82"/>
    </row>
    <row r="56" spans="1:11" ht="74.45" customHeight="1" x14ac:dyDescent="0.2">
      <c r="A56" s="76" t="s">
        <v>12</v>
      </c>
      <c r="B56" s="76"/>
      <c r="C56" s="81" t="s">
        <v>59</v>
      </c>
      <c r="D56" s="77"/>
      <c r="E56" s="77"/>
      <c r="F56" s="77"/>
      <c r="G56" s="77"/>
      <c r="H56" s="77"/>
      <c r="I56" s="77"/>
      <c r="J56" s="77"/>
      <c r="K56" s="77"/>
    </row>
    <row r="58" spans="1:11" x14ac:dyDescent="0.2">
      <c r="A58" s="76" t="s">
        <v>58</v>
      </c>
      <c r="B58" s="76"/>
      <c r="C58" s="76"/>
      <c r="D58" s="76"/>
      <c r="E58" s="76"/>
      <c r="F58" s="76"/>
      <c r="G58" s="76"/>
      <c r="H58" s="76"/>
      <c r="I58" s="76"/>
      <c r="J58" s="76"/>
      <c r="K58">
        <v>105.5</v>
      </c>
    </row>
    <row r="60" spans="1:11" x14ac:dyDescent="0.2">
      <c r="A60" s="76" t="s">
        <v>68</v>
      </c>
      <c r="B60" s="76"/>
      <c r="C60" s="76"/>
      <c r="D60" s="76"/>
      <c r="E60" s="76"/>
      <c r="F60" s="76"/>
      <c r="G60" s="76"/>
      <c r="H60" s="76"/>
      <c r="I60" s="76"/>
      <c r="K60" s="24">
        <f>ROUND((105.5%^(1/12)^1),4)</f>
        <v>1.0044999999999999</v>
      </c>
    </row>
    <row r="62" spans="1:11" ht="66.75" customHeight="1" x14ac:dyDescent="0.2">
      <c r="A62" s="77" t="s">
        <v>21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</row>
    <row r="63" spans="1:11" ht="30.75" customHeight="1" x14ac:dyDescent="0.2">
      <c r="A63" s="78" t="s">
        <v>78</v>
      </c>
      <c r="B63" s="79"/>
      <c r="C63" s="79"/>
      <c r="D63" s="79"/>
      <c r="E63" s="79"/>
      <c r="F63" s="79"/>
      <c r="G63" s="79"/>
      <c r="H63" s="79"/>
      <c r="I63" s="79"/>
      <c r="J63" s="79"/>
      <c r="K63" s="79"/>
    </row>
    <row r="64" spans="1:11" x14ac:dyDescent="0.2">
      <c r="A64" s="80" t="s">
        <v>9</v>
      </c>
      <c r="B64" s="80"/>
      <c r="C64" s="80"/>
      <c r="D64" s="80"/>
      <c r="E64" s="80"/>
      <c r="F64" s="80"/>
      <c r="G64" s="80"/>
      <c r="H64" s="80"/>
      <c r="I64" s="80"/>
      <c r="J64" s="18"/>
      <c r="K64" s="18">
        <f>ROUND(((((1.0045^5)-1)/2)+1),4)</f>
        <v>1.0114000000000001</v>
      </c>
    </row>
    <row r="66" spans="11:11" x14ac:dyDescent="0.2">
      <c r="K66" s="31"/>
    </row>
  </sheetData>
  <mergeCells count="15">
    <mergeCell ref="A56:B56"/>
    <mergeCell ref="C56:K56"/>
    <mergeCell ref="A1:K1"/>
    <mergeCell ref="A2:B2"/>
    <mergeCell ref="C2:K2"/>
    <mergeCell ref="A53:B53"/>
    <mergeCell ref="A55:K55"/>
    <mergeCell ref="A3:C3"/>
    <mergeCell ref="E3:G3"/>
    <mergeCell ref="E8:F8"/>
    <mergeCell ref="A58:J58"/>
    <mergeCell ref="A60:I60"/>
    <mergeCell ref="A62:K62"/>
    <mergeCell ref="A63:K63"/>
    <mergeCell ref="A64:I6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Протокол</vt:lpstr>
      <vt:lpstr>Расчет НМЦК</vt:lpstr>
      <vt:lpstr>Индексы инфляции</vt:lpstr>
    </vt:vector>
  </TitlesOfParts>
  <Company>ДС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</dc:creator>
  <cp:lastModifiedBy>Шанцева</cp:lastModifiedBy>
  <cp:lastPrinted>2026-08-04T12:03:28Z</cp:lastPrinted>
  <dcterms:created xsi:type="dcterms:W3CDTF">2015-03-24T04:38:00Z</dcterms:created>
  <dcterms:modified xsi:type="dcterms:W3CDTF">2026-08-11T09:57:30Z</dcterms:modified>
</cp:coreProperties>
</file>